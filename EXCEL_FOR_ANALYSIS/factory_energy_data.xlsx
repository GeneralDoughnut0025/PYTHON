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ga\Downloads\"/>
    </mc:Choice>
  </mc:AlternateContent>
  <xr:revisionPtr revIDLastSave="0" documentId="13_ncr:1_{E31C6D9C-50EC-4999-95E9-BD7A2C0E3AC5}" xr6:coauthVersionLast="47" xr6:coauthVersionMax="47" xr10:uidLastSave="{00000000-0000-0000-0000-000000000000}"/>
  <bookViews>
    <workbookView xWindow="11520" yWindow="0" windowWidth="11520" windowHeight="12360" xr2:uid="{C2834C8D-24EE-4BC5-88B4-609483CDE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3" i="1"/>
  <c r="I2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4" i="1"/>
  <c r="H5" i="1"/>
  <c r="H6" i="1"/>
  <c r="H7" i="1"/>
  <c r="H8" i="1"/>
  <c r="H9" i="1"/>
  <c r="H10" i="1"/>
  <c r="H11" i="1"/>
  <c r="H3" i="1"/>
  <c r="H2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9" i="1"/>
  <c r="F10" i="1"/>
  <c r="F11" i="1"/>
  <c r="F12" i="1"/>
  <c r="F13" i="1"/>
  <c r="F14" i="1"/>
  <c r="F15" i="1"/>
  <c r="F8" i="1"/>
  <c r="F7" i="1"/>
  <c r="F5" i="1"/>
  <c r="F6" i="1"/>
  <c r="F4" i="1"/>
  <c r="F3" i="1"/>
  <c r="F2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4" i="1"/>
  <c r="B5" i="1"/>
  <c r="B6" i="1"/>
  <c r="B7" i="1"/>
  <c r="B8" i="1"/>
  <c r="B3" i="1"/>
  <c r="B2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29" i="1"/>
  <c r="A230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6" i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<sst xmlns="http://schemas.openxmlformats.org/spreadsheetml/2006/main" count="270" uniqueCount="15">
  <si>
    <t>date</t>
  </si>
  <si>
    <t>shift</t>
  </si>
  <si>
    <t>order_qty</t>
  </si>
  <si>
    <t>good_units</t>
  </si>
  <si>
    <t>scrap_units</t>
  </si>
  <si>
    <t>downtime_breakdown_min</t>
  </si>
  <si>
    <t>total_downtime_min</t>
  </si>
  <si>
    <t>machine1_breakdown</t>
  </si>
  <si>
    <t>machine2_breakdown</t>
  </si>
  <si>
    <t>machine3_breakdown</t>
  </si>
  <si>
    <t>8 kg</t>
  </si>
  <si>
    <t>7 kg</t>
  </si>
  <si>
    <t>10 kg</t>
  </si>
  <si>
    <t>downtime_changeover_min</t>
  </si>
  <si>
    <t>cabinet_size_Kg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</si>
</sst>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FBC7-578F-4E27-8908-DA917529547D}">
  <dimension ref="A1:L260"/>
  <sheetViews>
    <sheetView tabSelected="1" topLeftCell="H82" workbookViewId="0">
      <selection activeCell="M86" sqref="M86"/>
    </sheetView>
  </sheetViews>
  <sheetFormatPr defaultRowHeight="14.4"/>
  <cols>
    <col min="1" max="1" width="10.33203125" bestFit="1" customWidth="1"/>
    <col min="2" max="2" width="4.44140625" bestFit="1" customWidth="1"/>
    <col min="3" max="3" width="13.6640625" bestFit="1" customWidth="1"/>
    <col min="4" max="4" width="8.44140625" bestFit="1" customWidth="1"/>
    <col min="5" max="5" width="9.77734375" bestFit="1" customWidth="1"/>
    <col min="6" max="6" width="10.33203125" bestFit="1" customWidth="1"/>
    <col min="7" max="7" width="22.5546875" bestFit="1" customWidth="1"/>
    <col min="8" max="8" width="23.21875" bestFit="1" customWidth="1"/>
    <col min="9" max="9" width="16.77734375" bestFit="1" customWidth="1"/>
    <col min="10" max="12" width="18.88671875" bestFit="1" customWidth="1"/>
  </cols>
  <sheetData>
    <row r="1" spans="1:12">
      <c r="A1" t="s">
        <v>0</v>
      </c>
      <c r="B1" t="s">
        <v>1</v>
      </c>
      <c r="C1" t="s">
        <v>14</v>
      </c>
      <c r="D1" t="s">
        <v>2</v>
      </c>
      <c r="E1" s="1" t="s">
        <v>3</v>
      </c>
      <c r="F1" s="1" t="s">
        <v>4</v>
      </c>
      <c r="G1" s="1" t="s">
        <v>5</v>
      </c>
      <c r="H1" s="1" t="s">
        <v>13</v>
      </c>
      <c r="I1" s="1" t="s">
        <v>6</v>
      </c>
      <c r="J1" t="s">
        <v>7</v>
      </c>
      <c r="K1" t="s">
        <v>8</v>
      </c>
      <c r="L1" t="s">
        <v>9</v>
      </c>
    </row>
    <row r="2" spans="1:12">
      <c r="A2" s="2">
        <f>WORKDAY(DATE(2026,1,1)-1,INT((ROW(A1)-1)/2)+1)</f>
        <v>46023</v>
      </c>
      <c r="B2">
        <f>IF(ISEVEN(ROW()),1,2)</f>
        <v>1</v>
      </c>
      <c r="C2" t="s">
        <v>10</v>
      </c>
      <c r="D2">
        <v>543</v>
      </c>
      <c r="E2">
        <v>543</v>
      </c>
      <c r="F2">
        <f>D2-E2</f>
        <v>0</v>
      </c>
      <c r="G2">
        <v>6</v>
      </c>
      <c r="H2">
        <f>IF(C2="8 kg",15,IF(C2="7 kg",12,20))</f>
        <v>15</v>
      </c>
      <c r="I2">
        <f>G2+H2</f>
        <v>21</v>
      </c>
      <c r="J2" t="str">
        <f>IF(I2&gt;20,"YES","NO")</f>
        <v>YES</v>
      </c>
      <c r="K2" t="str">
        <f>IF(I2&gt;30,"YES","NO")</f>
        <v>NO</v>
      </c>
      <c r="L2" t="str">
        <f>IF(I2&gt;39,"YES","NO")</f>
        <v>NO</v>
      </c>
    </row>
    <row r="3" spans="1:12">
      <c r="A3" s="2">
        <f t="shared" ref="A3:A66" si="0">WORKDAY(DATE(2026,1,1)-1,INT((ROW(A2)-1)/2)+1)</f>
        <v>46023</v>
      </c>
      <c r="B3">
        <f>IF(ISEVEN(ROW()),1,2)</f>
        <v>2</v>
      </c>
      <c r="C3" t="s">
        <v>11</v>
      </c>
      <c r="D3">
        <v>413</v>
      </c>
      <c r="E3">
        <v>395</v>
      </c>
      <c r="F3">
        <f>D3-E3</f>
        <v>18</v>
      </c>
      <c r="G3">
        <v>21</v>
      </c>
      <c r="H3">
        <f>IF(C3="8 kg",15,IF(C3="7 kg",12,20))</f>
        <v>12</v>
      </c>
      <c r="I3">
        <f>G3+H3</f>
        <v>33</v>
      </c>
      <c r="J3" t="str">
        <f t="shared" ref="J3:J66" si="1">IF(I3&gt;20,"YES","NO")</f>
        <v>YES</v>
      </c>
      <c r="K3" t="str">
        <f>IF(I3&gt;30,"YES","NO")</f>
        <v>YES</v>
      </c>
      <c r="L3" t="str">
        <f t="shared" ref="L3:L66" si="2">IF(I3&gt;39,"YES","NO")</f>
        <v>NO</v>
      </c>
    </row>
    <row r="4" spans="1:12">
      <c r="A4" s="2">
        <f t="shared" si="0"/>
        <v>46024</v>
      </c>
      <c r="B4">
        <f t="shared" ref="B4:B67" si="3">IF(ISEVEN(ROW()),1,2)</f>
        <v>1</v>
      </c>
      <c r="C4" t="s">
        <v>11</v>
      </c>
      <c r="D4">
        <v>620</v>
      </c>
      <c r="E4">
        <v>615</v>
      </c>
      <c r="F4">
        <f>D4-E4</f>
        <v>5</v>
      </c>
      <c r="G4">
        <v>5</v>
      </c>
      <c r="H4">
        <f t="shared" ref="H4:H67" si="4">IF(C4="8 kg",15,IF(C4="7 kg",12,20))</f>
        <v>12</v>
      </c>
      <c r="I4">
        <f t="shared" ref="I4:I67" si="5">G4+H4</f>
        <v>17</v>
      </c>
      <c r="J4" t="str">
        <f t="shared" si="1"/>
        <v>NO</v>
      </c>
      <c r="K4" t="str">
        <f t="shared" ref="K4:K67" si="6">IF(I4&gt;30,"YES","NO")</f>
        <v>NO</v>
      </c>
      <c r="L4" t="str">
        <f t="shared" si="2"/>
        <v>NO</v>
      </c>
    </row>
    <row r="5" spans="1:12">
      <c r="A5" s="2">
        <f t="shared" si="0"/>
        <v>46024</v>
      </c>
      <c r="B5">
        <f t="shared" si="3"/>
        <v>2</v>
      </c>
      <c r="C5" t="s">
        <v>10</v>
      </c>
      <c r="D5">
        <v>556</v>
      </c>
      <c r="E5">
        <v>536</v>
      </c>
      <c r="F5">
        <f>D5-E5</f>
        <v>20</v>
      </c>
      <c r="G5">
        <v>25</v>
      </c>
      <c r="H5">
        <f t="shared" si="4"/>
        <v>15</v>
      </c>
      <c r="I5">
        <f t="shared" si="5"/>
        <v>40</v>
      </c>
      <c r="J5" t="str">
        <f t="shared" si="1"/>
        <v>YES</v>
      </c>
      <c r="K5" t="str">
        <f t="shared" si="6"/>
        <v>YES</v>
      </c>
      <c r="L5" t="str">
        <f t="shared" si="2"/>
        <v>YES</v>
      </c>
    </row>
    <row r="6" spans="1:12">
      <c r="A6" s="2">
        <f>WORKDAY(DATE(2026,1,1)-1,INT((ROW(A5)-1)/2)+1)</f>
        <v>46027</v>
      </c>
      <c r="B6">
        <f t="shared" si="3"/>
        <v>1</v>
      </c>
      <c r="C6" t="s">
        <v>10</v>
      </c>
      <c r="D6">
        <v>288</v>
      </c>
      <c r="E6">
        <v>272</v>
      </c>
      <c r="F6">
        <f>D6-E6</f>
        <v>16</v>
      </c>
      <c r="G6">
        <v>17</v>
      </c>
      <c r="H6">
        <f t="shared" si="4"/>
        <v>15</v>
      </c>
      <c r="I6">
        <f t="shared" si="5"/>
        <v>32</v>
      </c>
      <c r="J6" t="str">
        <f t="shared" si="1"/>
        <v>YES</v>
      </c>
      <c r="K6" t="str">
        <f t="shared" si="6"/>
        <v>YES</v>
      </c>
      <c r="L6" t="str">
        <f t="shared" si="2"/>
        <v>NO</v>
      </c>
    </row>
    <row r="7" spans="1:12">
      <c r="A7" s="2">
        <f t="shared" si="0"/>
        <v>46027</v>
      </c>
      <c r="B7">
        <f t="shared" si="3"/>
        <v>2</v>
      </c>
      <c r="C7" t="s">
        <v>11</v>
      </c>
      <c r="D7">
        <v>904</v>
      </c>
      <c r="E7">
        <v>886</v>
      </c>
      <c r="F7">
        <f>D7-E7</f>
        <v>18</v>
      </c>
      <c r="G7">
        <v>25</v>
      </c>
      <c r="H7">
        <f t="shared" si="4"/>
        <v>12</v>
      </c>
      <c r="I7">
        <f t="shared" si="5"/>
        <v>37</v>
      </c>
      <c r="J7" t="str">
        <f t="shared" si="1"/>
        <v>YES</v>
      </c>
      <c r="K7" t="str">
        <f t="shared" si="6"/>
        <v>YES</v>
      </c>
      <c r="L7" t="str">
        <f t="shared" si="2"/>
        <v>NO</v>
      </c>
    </row>
    <row r="8" spans="1:12">
      <c r="A8" s="2">
        <f t="shared" si="0"/>
        <v>46028</v>
      </c>
      <c r="B8">
        <f t="shared" si="3"/>
        <v>1</v>
      </c>
      <c r="C8" t="s">
        <v>10</v>
      </c>
      <c r="D8">
        <v>535</v>
      </c>
      <c r="E8">
        <v>531</v>
      </c>
      <c r="F8">
        <f>D8-E8</f>
        <v>4</v>
      </c>
      <c r="G8">
        <v>5</v>
      </c>
      <c r="H8">
        <f t="shared" si="4"/>
        <v>15</v>
      </c>
      <c r="I8">
        <f t="shared" si="5"/>
        <v>20</v>
      </c>
      <c r="J8" t="str">
        <f t="shared" si="1"/>
        <v>NO</v>
      </c>
      <c r="K8" t="str">
        <f t="shared" si="6"/>
        <v>NO</v>
      </c>
      <c r="L8" t="str">
        <f t="shared" si="2"/>
        <v>NO</v>
      </c>
    </row>
    <row r="9" spans="1:12">
      <c r="A9" s="2">
        <f t="shared" si="0"/>
        <v>46028</v>
      </c>
      <c r="B9">
        <f t="shared" si="3"/>
        <v>2</v>
      </c>
      <c r="C9" t="s">
        <v>11</v>
      </c>
      <c r="D9">
        <v>637</v>
      </c>
      <c r="E9">
        <v>635</v>
      </c>
      <c r="F9">
        <f>D9-E9</f>
        <v>2</v>
      </c>
      <c r="G9">
        <v>5</v>
      </c>
      <c r="H9">
        <f t="shared" si="4"/>
        <v>12</v>
      </c>
      <c r="I9">
        <f t="shared" si="5"/>
        <v>17</v>
      </c>
      <c r="J9" t="str">
        <f t="shared" si="1"/>
        <v>NO</v>
      </c>
      <c r="K9" t="str">
        <f t="shared" si="6"/>
        <v>NO</v>
      </c>
      <c r="L9" t="str">
        <f t="shared" si="2"/>
        <v>NO</v>
      </c>
    </row>
    <row r="10" spans="1:12">
      <c r="A10" s="2">
        <f t="shared" si="0"/>
        <v>46029</v>
      </c>
      <c r="B10">
        <f t="shared" si="3"/>
        <v>1</v>
      </c>
      <c r="C10" t="s">
        <v>10</v>
      </c>
      <c r="D10">
        <v>942</v>
      </c>
      <c r="E10">
        <v>927</v>
      </c>
      <c r="F10">
        <f>D10-E10</f>
        <v>15</v>
      </c>
      <c r="G10">
        <v>19</v>
      </c>
      <c r="H10">
        <f t="shared" si="4"/>
        <v>15</v>
      </c>
      <c r="I10">
        <f t="shared" si="5"/>
        <v>34</v>
      </c>
      <c r="J10" t="str">
        <f t="shared" si="1"/>
        <v>YES</v>
      </c>
      <c r="K10" t="str">
        <f t="shared" si="6"/>
        <v>YES</v>
      </c>
      <c r="L10" t="str">
        <f t="shared" si="2"/>
        <v>NO</v>
      </c>
    </row>
    <row r="11" spans="1:12">
      <c r="A11" s="2">
        <f t="shared" si="0"/>
        <v>46029</v>
      </c>
      <c r="B11">
        <f t="shared" si="3"/>
        <v>2</v>
      </c>
      <c r="C11" t="s">
        <v>12</v>
      </c>
      <c r="D11">
        <v>735</v>
      </c>
      <c r="E11">
        <v>728</v>
      </c>
      <c r="F11">
        <f>D11-E11</f>
        <v>7</v>
      </c>
      <c r="G11">
        <v>6</v>
      </c>
      <c r="H11">
        <f t="shared" si="4"/>
        <v>20</v>
      </c>
      <c r="I11">
        <f t="shared" si="5"/>
        <v>26</v>
      </c>
      <c r="J11" t="str">
        <f t="shared" si="1"/>
        <v>YES</v>
      </c>
      <c r="K11" t="str">
        <f t="shared" si="6"/>
        <v>NO</v>
      </c>
      <c r="L11" t="str">
        <f t="shared" si="2"/>
        <v>NO</v>
      </c>
    </row>
    <row r="12" spans="1:12">
      <c r="A12" s="2">
        <f t="shared" si="0"/>
        <v>46030</v>
      </c>
      <c r="B12">
        <f t="shared" si="3"/>
        <v>1</v>
      </c>
      <c r="C12" t="s">
        <v>10</v>
      </c>
      <c r="D12">
        <v>734</v>
      </c>
      <c r="E12">
        <v>719</v>
      </c>
      <c r="F12">
        <f>D12-E12</f>
        <v>15</v>
      </c>
      <c r="G12">
        <v>17</v>
      </c>
      <c r="H12">
        <f t="shared" si="4"/>
        <v>15</v>
      </c>
      <c r="I12">
        <f t="shared" si="5"/>
        <v>32</v>
      </c>
      <c r="J12" t="str">
        <f t="shared" si="1"/>
        <v>YES</v>
      </c>
      <c r="K12" t="str">
        <f t="shared" si="6"/>
        <v>YES</v>
      </c>
      <c r="L12" t="str">
        <f t="shared" si="2"/>
        <v>NO</v>
      </c>
    </row>
    <row r="13" spans="1:12">
      <c r="A13" s="2">
        <f t="shared" si="0"/>
        <v>46030</v>
      </c>
      <c r="B13">
        <f t="shared" si="3"/>
        <v>2</v>
      </c>
      <c r="C13" t="s">
        <v>10</v>
      </c>
      <c r="D13">
        <v>1000</v>
      </c>
      <c r="E13">
        <v>983</v>
      </c>
      <c r="F13">
        <f>D13-E13</f>
        <v>17</v>
      </c>
      <c r="G13">
        <v>23</v>
      </c>
      <c r="H13">
        <f t="shared" si="4"/>
        <v>15</v>
      </c>
      <c r="I13">
        <f t="shared" si="5"/>
        <v>38</v>
      </c>
      <c r="J13" t="str">
        <f t="shared" si="1"/>
        <v>YES</v>
      </c>
      <c r="K13" t="str">
        <f t="shared" si="6"/>
        <v>YES</v>
      </c>
      <c r="L13" t="str">
        <f t="shared" si="2"/>
        <v>NO</v>
      </c>
    </row>
    <row r="14" spans="1:12">
      <c r="A14" s="2">
        <f t="shared" si="0"/>
        <v>46031</v>
      </c>
      <c r="B14">
        <f t="shared" si="3"/>
        <v>1</v>
      </c>
      <c r="C14" t="s">
        <v>11</v>
      </c>
      <c r="D14">
        <v>569</v>
      </c>
      <c r="E14">
        <v>550</v>
      </c>
      <c r="F14">
        <f>D14-E14</f>
        <v>19</v>
      </c>
      <c r="G14">
        <v>24</v>
      </c>
      <c r="H14">
        <f t="shared" si="4"/>
        <v>12</v>
      </c>
      <c r="I14">
        <f t="shared" si="5"/>
        <v>36</v>
      </c>
      <c r="J14" t="str">
        <f t="shared" si="1"/>
        <v>YES</v>
      </c>
      <c r="K14" t="str">
        <f t="shared" si="6"/>
        <v>YES</v>
      </c>
      <c r="L14" t="str">
        <f t="shared" si="2"/>
        <v>NO</v>
      </c>
    </row>
    <row r="15" spans="1:12">
      <c r="A15" s="2">
        <f t="shared" si="0"/>
        <v>46031</v>
      </c>
      <c r="B15">
        <f t="shared" si="3"/>
        <v>2</v>
      </c>
      <c r="C15" t="s">
        <v>10</v>
      </c>
      <c r="D15">
        <v>419</v>
      </c>
      <c r="E15">
        <v>411</v>
      </c>
      <c r="F15">
        <f>D15-E15</f>
        <v>8</v>
      </c>
      <c r="G15">
        <v>6</v>
      </c>
      <c r="H15">
        <f t="shared" si="4"/>
        <v>15</v>
      </c>
      <c r="I15">
        <f t="shared" si="5"/>
        <v>21</v>
      </c>
      <c r="J15" t="str">
        <f t="shared" si="1"/>
        <v>YES</v>
      </c>
      <c r="K15" t="str">
        <f t="shared" si="6"/>
        <v>NO</v>
      </c>
      <c r="L15" t="str">
        <f t="shared" si="2"/>
        <v>NO</v>
      </c>
    </row>
    <row r="16" spans="1:12">
      <c r="A16" s="2">
        <f t="shared" si="0"/>
        <v>46034</v>
      </c>
      <c r="B16">
        <f t="shared" si="3"/>
        <v>1</v>
      </c>
      <c r="C16" t="s">
        <v>12</v>
      </c>
      <c r="D16">
        <v>470</v>
      </c>
      <c r="E16">
        <v>470</v>
      </c>
      <c r="F16">
        <f t="shared" ref="F16:F79" si="7">D16-E16</f>
        <v>0</v>
      </c>
      <c r="G16">
        <v>7</v>
      </c>
      <c r="H16">
        <f t="shared" si="4"/>
        <v>20</v>
      </c>
      <c r="I16">
        <f t="shared" si="5"/>
        <v>27</v>
      </c>
      <c r="J16" t="str">
        <f t="shared" si="1"/>
        <v>YES</v>
      </c>
      <c r="K16" t="str">
        <f t="shared" si="6"/>
        <v>NO</v>
      </c>
      <c r="L16" t="str">
        <f t="shared" si="2"/>
        <v>NO</v>
      </c>
    </row>
    <row r="17" spans="1:12">
      <c r="A17" s="2">
        <f t="shared" si="0"/>
        <v>46034</v>
      </c>
      <c r="B17">
        <f t="shared" si="3"/>
        <v>2</v>
      </c>
      <c r="C17" t="s">
        <v>10</v>
      </c>
      <c r="D17">
        <v>440</v>
      </c>
      <c r="E17">
        <v>434</v>
      </c>
      <c r="F17">
        <f t="shared" si="7"/>
        <v>6</v>
      </c>
      <c r="G17">
        <v>7</v>
      </c>
      <c r="H17">
        <f t="shared" si="4"/>
        <v>15</v>
      </c>
      <c r="I17">
        <f t="shared" si="5"/>
        <v>22</v>
      </c>
      <c r="J17" t="str">
        <f t="shared" si="1"/>
        <v>YES</v>
      </c>
      <c r="K17" t="str">
        <f t="shared" si="6"/>
        <v>NO</v>
      </c>
      <c r="L17" t="str">
        <f t="shared" si="2"/>
        <v>NO</v>
      </c>
    </row>
    <row r="18" spans="1:12">
      <c r="A18" s="2">
        <f t="shared" si="0"/>
        <v>46035</v>
      </c>
      <c r="B18">
        <f t="shared" si="3"/>
        <v>1</v>
      </c>
      <c r="C18" t="s">
        <v>11</v>
      </c>
      <c r="D18">
        <v>475</v>
      </c>
      <c r="E18">
        <v>473</v>
      </c>
      <c r="F18">
        <f t="shared" si="7"/>
        <v>2</v>
      </c>
      <c r="G18">
        <v>5</v>
      </c>
      <c r="H18">
        <f t="shared" si="4"/>
        <v>12</v>
      </c>
      <c r="I18">
        <f t="shared" si="5"/>
        <v>17</v>
      </c>
      <c r="J18" t="str">
        <f t="shared" si="1"/>
        <v>NO</v>
      </c>
      <c r="K18" t="str">
        <f t="shared" si="6"/>
        <v>NO</v>
      </c>
      <c r="L18" t="str">
        <f t="shared" si="2"/>
        <v>NO</v>
      </c>
    </row>
    <row r="19" spans="1:12">
      <c r="A19" s="2">
        <f t="shared" si="0"/>
        <v>46035</v>
      </c>
      <c r="B19">
        <f t="shared" si="3"/>
        <v>2</v>
      </c>
      <c r="C19" t="s">
        <v>12</v>
      </c>
      <c r="D19">
        <v>300</v>
      </c>
      <c r="E19">
        <v>291</v>
      </c>
      <c r="F19">
        <f t="shared" si="7"/>
        <v>9</v>
      </c>
      <c r="G19">
        <v>8</v>
      </c>
      <c r="H19">
        <f t="shared" si="4"/>
        <v>20</v>
      </c>
      <c r="I19">
        <f t="shared" si="5"/>
        <v>28</v>
      </c>
      <c r="J19" t="str">
        <f t="shared" si="1"/>
        <v>YES</v>
      </c>
      <c r="K19" t="str">
        <f t="shared" si="6"/>
        <v>NO</v>
      </c>
      <c r="L19" t="str">
        <f t="shared" si="2"/>
        <v>NO</v>
      </c>
    </row>
    <row r="20" spans="1:12">
      <c r="A20" s="2">
        <f t="shared" si="0"/>
        <v>46036</v>
      </c>
      <c r="B20">
        <f t="shared" si="3"/>
        <v>1</v>
      </c>
      <c r="C20" t="s">
        <v>12</v>
      </c>
      <c r="D20">
        <v>903</v>
      </c>
      <c r="E20">
        <v>903</v>
      </c>
      <c r="F20">
        <f t="shared" si="7"/>
        <v>0</v>
      </c>
      <c r="G20">
        <v>5</v>
      </c>
      <c r="H20">
        <f t="shared" si="4"/>
        <v>20</v>
      </c>
      <c r="I20">
        <f t="shared" si="5"/>
        <v>25</v>
      </c>
      <c r="J20" t="str">
        <f t="shared" si="1"/>
        <v>YES</v>
      </c>
      <c r="K20" t="str">
        <f t="shared" si="6"/>
        <v>NO</v>
      </c>
      <c r="L20" t="str">
        <f t="shared" si="2"/>
        <v>NO</v>
      </c>
    </row>
    <row r="21" spans="1:12">
      <c r="A21" s="2">
        <f t="shared" si="0"/>
        <v>46036</v>
      </c>
      <c r="B21">
        <f t="shared" si="3"/>
        <v>2</v>
      </c>
      <c r="C21" t="s">
        <v>12</v>
      </c>
      <c r="D21">
        <v>820</v>
      </c>
      <c r="E21">
        <v>816</v>
      </c>
      <c r="F21">
        <f t="shared" si="7"/>
        <v>4</v>
      </c>
      <c r="G21">
        <v>8</v>
      </c>
      <c r="H21">
        <f t="shared" si="4"/>
        <v>20</v>
      </c>
      <c r="I21">
        <f t="shared" si="5"/>
        <v>28</v>
      </c>
      <c r="J21" t="str">
        <f t="shared" si="1"/>
        <v>YES</v>
      </c>
      <c r="K21" t="str">
        <f t="shared" si="6"/>
        <v>NO</v>
      </c>
      <c r="L21" t="str">
        <f t="shared" si="2"/>
        <v>NO</v>
      </c>
    </row>
    <row r="22" spans="1:12">
      <c r="A22" s="2">
        <f t="shared" si="0"/>
        <v>46037</v>
      </c>
      <c r="B22">
        <f t="shared" si="3"/>
        <v>1</v>
      </c>
      <c r="C22" t="s">
        <v>12</v>
      </c>
      <c r="D22">
        <v>379</v>
      </c>
      <c r="E22">
        <v>374</v>
      </c>
      <c r="F22">
        <f t="shared" si="7"/>
        <v>5</v>
      </c>
      <c r="G22">
        <v>7</v>
      </c>
      <c r="H22">
        <f t="shared" si="4"/>
        <v>20</v>
      </c>
      <c r="I22">
        <f t="shared" si="5"/>
        <v>27</v>
      </c>
      <c r="J22" t="str">
        <f t="shared" si="1"/>
        <v>YES</v>
      </c>
      <c r="K22" t="str">
        <f t="shared" si="6"/>
        <v>NO</v>
      </c>
      <c r="L22" t="str">
        <f t="shared" si="2"/>
        <v>NO</v>
      </c>
    </row>
    <row r="23" spans="1:12">
      <c r="A23" s="2">
        <f t="shared" si="0"/>
        <v>46037</v>
      </c>
      <c r="B23">
        <f t="shared" si="3"/>
        <v>2</v>
      </c>
      <c r="C23" t="s">
        <v>11</v>
      </c>
      <c r="D23">
        <v>645</v>
      </c>
      <c r="E23">
        <v>627</v>
      </c>
      <c r="F23">
        <f t="shared" si="7"/>
        <v>18</v>
      </c>
      <c r="G23">
        <v>22</v>
      </c>
      <c r="H23">
        <f t="shared" si="4"/>
        <v>12</v>
      </c>
      <c r="I23">
        <f t="shared" si="5"/>
        <v>34</v>
      </c>
      <c r="J23" t="str">
        <f t="shared" si="1"/>
        <v>YES</v>
      </c>
      <c r="K23" t="str">
        <f t="shared" si="6"/>
        <v>YES</v>
      </c>
      <c r="L23" t="str">
        <f t="shared" si="2"/>
        <v>NO</v>
      </c>
    </row>
    <row r="24" spans="1:12">
      <c r="A24" s="2">
        <f t="shared" si="0"/>
        <v>46038</v>
      </c>
      <c r="B24">
        <f t="shared" si="3"/>
        <v>1</v>
      </c>
      <c r="C24" t="s">
        <v>12</v>
      </c>
      <c r="D24">
        <v>812</v>
      </c>
      <c r="E24">
        <v>796</v>
      </c>
      <c r="F24">
        <f t="shared" si="7"/>
        <v>16</v>
      </c>
      <c r="G24">
        <v>17</v>
      </c>
      <c r="H24">
        <f t="shared" si="4"/>
        <v>20</v>
      </c>
      <c r="I24">
        <f t="shared" si="5"/>
        <v>37</v>
      </c>
      <c r="J24" t="str">
        <f t="shared" si="1"/>
        <v>YES</v>
      </c>
      <c r="K24" t="str">
        <f t="shared" si="6"/>
        <v>YES</v>
      </c>
      <c r="L24" t="str">
        <f t="shared" si="2"/>
        <v>NO</v>
      </c>
    </row>
    <row r="25" spans="1:12">
      <c r="A25" s="2">
        <f t="shared" si="0"/>
        <v>46038</v>
      </c>
      <c r="B25">
        <f t="shared" si="3"/>
        <v>2</v>
      </c>
      <c r="C25" t="s">
        <v>11</v>
      </c>
      <c r="D25">
        <v>509</v>
      </c>
      <c r="E25">
        <v>497</v>
      </c>
      <c r="F25">
        <f t="shared" si="7"/>
        <v>12</v>
      </c>
      <c r="G25">
        <v>21</v>
      </c>
      <c r="H25">
        <f t="shared" si="4"/>
        <v>12</v>
      </c>
      <c r="I25">
        <f t="shared" si="5"/>
        <v>33</v>
      </c>
      <c r="J25" t="str">
        <f t="shared" si="1"/>
        <v>YES</v>
      </c>
      <c r="K25" t="str">
        <f t="shared" si="6"/>
        <v>YES</v>
      </c>
      <c r="L25" t="str">
        <f t="shared" si="2"/>
        <v>NO</v>
      </c>
    </row>
    <row r="26" spans="1:12">
      <c r="A26" s="2">
        <f t="shared" si="0"/>
        <v>46041</v>
      </c>
      <c r="B26">
        <f t="shared" si="3"/>
        <v>1</v>
      </c>
      <c r="C26" t="s">
        <v>12</v>
      </c>
      <c r="D26">
        <v>805</v>
      </c>
      <c r="E26">
        <v>799</v>
      </c>
      <c r="F26">
        <f t="shared" si="7"/>
        <v>6</v>
      </c>
      <c r="G26">
        <v>5</v>
      </c>
      <c r="H26">
        <f t="shared" si="4"/>
        <v>20</v>
      </c>
      <c r="I26">
        <f t="shared" si="5"/>
        <v>25</v>
      </c>
      <c r="J26" t="str">
        <f t="shared" si="1"/>
        <v>YES</v>
      </c>
      <c r="K26" t="str">
        <f t="shared" si="6"/>
        <v>NO</v>
      </c>
      <c r="L26" t="str">
        <f t="shared" si="2"/>
        <v>NO</v>
      </c>
    </row>
    <row r="27" spans="1:12">
      <c r="A27" s="2">
        <f t="shared" si="0"/>
        <v>46041</v>
      </c>
      <c r="B27">
        <f t="shared" si="3"/>
        <v>2</v>
      </c>
      <c r="C27" t="s">
        <v>10</v>
      </c>
      <c r="D27">
        <v>662</v>
      </c>
      <c r="E27">
        <v>644</v>
      </c>
      <c r="F27">
        <f t="shared" si="7"/>
        <v>18</v>
      </c>
      <c r="G27">
        <v>29</v>
      </c>
      <c r="H27">
        <f t="shared" si="4"/>
        <v>15</v>
      </c>
      <c r="I27">
        <f t="shared" si="5"/>
        <v>44</v>
      </c>
      <c r="J27" t="str">
        <f t="shared" si="1"/>
        <v>YES</v>
      </c>
      <c r="K27" t="str">
        <f t="shared" si="6"/>
        <v>YES</v>
      </c>
      <c r="L27" t="str">
        <f t="shared" si="2"/>
        <v>YES</v>
      </c>
    </row>
    <row r="28" spans="1:12">
      <c r="A28" s="2">
        <f t="shared" si="0"/>
        <v>46042</v>
      </c>
      <c r="B28">
        <f t="shared" si="3"/>
        <v>1</v>
      </c>
      <c r="C28" t="s">
        <v>10</v>
      </c>
      <c r="D28">
        <v>885</v>
      </c>
      <c r="E28">
        <v>873</v>
      </c>
      <c r="F28">
        <f t="shared" si="7"/>
        <v>12</v>
      </c>
      <c r="G28">
        <v>20</v>
      </c>
      <c r="H28">
        <f t="shared" si="4"/>
        <v>15</v>
      </c>
      <c r="I28">
        <f t="shared" si="5"/>
        <v>35</v>
      </c>
      <c r="J28" t="str">
        <f t="shared" si="1"/>
        <v>YES</v>
      </c>
      <c r="K28" t="str">
        <f t="shared" si="6"/>
        <v>YES</v>
      </c>
      <c r="L28" t="str">
        <f t="shared" si="2"/>
        <v>NO</v>
      </c>
    </row>
    <row r="29" spans="1:12">
      <c r="A29" s="2">
        <f t="shared" si="0"/>
        <v>46042</v>
      </c>
      <c r="B29">
        <f t="shared" si="3"/>
        <v>2</v>
      </c>
      <c r="C29" t="s">
        <v>12</v>
      </c>
      <c r="D29">
        <v>385</v>
      </c>
      <c r="E29">
        <v>381</v>
      </c>
      <c r="F29">
        <f t="shared" si="7"/>
        <v>4</v>
      </c>
      <c r="G29">
        <v>7</v>
      </c>
      <c r="H29">
        <f t="shared" si="4"/>
        <v>20</v>
      </c>
      <c r="I29">
        <f t="shared" si="5"/>
        <v>27</v>
      </c>
      <c r="J29" t="str">
        <f t="shared" si="1"/>
        <v>YES</v>
      </c>
      <c r="K29" t="str">
        <f t="shared" si="6"/>
        <v>NO</v>
      </c>
      <c r="L29" t="str">
        <f t="shared" si="2"/>
        <v>NO</v>
      </c>
    </row>
    <row r="30" spans="1:12">
      <c r="A30" s="2">
        <f t="shared" si="0"/>
        <v>46043</v>
      </c>
      <c r="B30">
        <f t="shared" si="3"/>
        <v>1</v>
      </c>
      <c r="C30" t="s">
        <v>10</v>
      </c>
      <c r="D30">
        <v>359</v>
      </c>
      <c r="E30">
        <v>355</v>
      </c>
      <c r="F30">
        <f t="shared" si="7"/>
        <v>4</v>
      </c>
      <c r="G30">
        <v>4</v>
      </c>
      <c r="H30">
        <f t="shared" si="4"/>
        <v>15</v>
      </c>
      <c r="I30">
        <f t="shared" si="5"/>
        <v>19</v>
      </c>
      <c r="J30" t="str">
        <f t="shared" si="1"/>
        <v>NO</v>
      </c>
      <c r="K30" t="str">
        <f t="shared" si="6"/>
        <v>NO</v>
      </c>
      <c r="L30" t="str">
        <f t="shared" si="2"/>
        <v>NO</v>
      </c>
    </row>
    <row r="31" spans="1:12">
      <c r="A31" s="2">
        <f t="shared" si="0"/>
        <v>46043</v>
      </c>
      <c r="B31">
        <f t="shared" si="3"/>
        <v>2</v>
      </c>
      <c r="C31" t="s">
        <v>10</v>
      </c>
      <c r="D31">
        <v>684</v>
      </c>
      <c r="E31">
        <v>664</v>
      </c>
      <c r="F31">
        <f t="shared" si="7"/>
        <v>20</v>
      </c>
      <c r="G31">
        <v>26</v>
      </c>
      <c r="H31">
        <f t="shared" si="4"/>
        <v>15</v>
      </c>
      <c r="I31">
        <f t="shared" si="5"/>
        <v>41</v>
      </c>
      <c r="J31" t="str">
        <f t="shared" si="1"/>
        <v>YES</v>
      </c>
      <c r="K31" t="str">
        <f t="shared" si="6"/>
        <v>YES</v>
      </c>
      <c r="L31" t="str">
        <f t="shared" si="2"/>
        <v>YES</v>
      </c>
    </row>
    <row r="32" spans="1:12">
      <c r="A32" s="2">
        <f t="shared" si="0"/>
        <v>46044</v>
      </c>
      <c r="B32">
        <f t="shared" si="3"/>
        <v>1</v>
      </c>
      <c r="C32" t="s">
        <v>12</v>
      </c>
      <c r="D32">
        <v>418</v>
      </c>
      <c r="E32">
        <v>418</v>
      </c>
      <c r="F32">
        <f t="shared" si="7"/>
        <v>0</v>
      </c>
      <c r="G32">
        <v>7</v>
      </c>
      <c r="H32">
        <f t="shared" si="4"/>
        <v>20</v>
      </c>
      <c r="I32">
        <f t="shared" si="5"/>
        <v>27</v>
      </c>
      <c r="J32" t="str">
        <f t="shared" si="1"/>
        <v>YES</v>
      </c>
      <c r="K32" t="str">
        <f t="shared" si="6"/>
        <v>NO</v>
      </c>
      <c r="L32" t="str">
        <f t="shared" si="2"/>
        <v>NO</v>
      </c>
    </row>
    <row r="33" spans="1:12">
      <c r="A33" s="2">
        <f t="shared" si="0"/>
        <v>46044</v>
      </c>
      <c r="B33">
        <f t="shared" si="3"/>
        <v>2</v>
      </c>
      <c r="C33" t="s">
        <v>12</v>
      </c>
      <c r="D33">
        <v>804</v>
      </c>
      <c r="E33">
        <v>802</v>
      </c>
      <c r="F33">
        <f t="shared" si="7"/>
        <v>2</v>
      </c>
      <c r="G33">
        <v>4</v>
      </c>
      <c r="H33">
        <f t="shared" si="4"/>
        <v>20</v>
      </c>
      <c r="I33">
        <f t="shared" si="5"/>
        <v>24</v>
      </c>
      <c r="J33" t="str">
        <f t="shared" si="1"/>
        <v>YES</v>
      </c>
      <c r="K33" t="str">
        <f t="shared" si="6"/>
        <v>NO</v>
      </c>
      <c r="L33" t="str">
        <f t="shared" si="2"/>
        <v>NO</v>
      </c>
    </row>
    <row r="34" spans="1:12">
      <c r="A34" s="2">
        <f t="shared" si="0"/>
        <v>46045</v>
      </c>
      <c r="B34">
        <f t="shared" si="3"/>
        <v>1</v>
      </c>
      <c r="C34" t="s">
        <v>10</v>
      </c>
      <c r="D34">
        <v>333</v>
      </c>
      <c r="E34">
        <v>331</v>
      </c>
      <c r="F34">
        <f t="shared" si="7"/>
        <v>2</v>
      </c>
      <c r="G34">
        <v>4</v>
      </c>
      <c r="H34">
        <f t="shared" si="4"/>
        <v>15</v>
      </c>
      <c r="I34">
        <f t="shared" si="5"/>
        <v>19</v>
      </c>
      <c r="J34" t="str">
        <f t="shared" si="1"/>
        <v>NO</v>
      </c>
      <c r="K34" t="str">
        <f t="shared" si="6"/>
        <v>NO</v>
      </c>
      <c r="L34" t="str">
        <f t="shared" si="2"/>
        <v>NO</v>
      </c>
    </row>
    <row r="35" spans="1:12">
      <c r="A35" s="2">
        <f t="shared" si="0"/>
        <v>46045</v>
      </c>
      <c r="B35">
        <f t="shared" si="3"/>
        <v>2</v>
      </c>
      <c r="C35" t="s">
        <v>10</v>
      </c>
      <c r="D35">
        <v>529</v>
      </c>
      <c r="E35">
        <v>516</v>
      </c>
      <c r="F35">
        <f t="shared" si="7"/>
        <v>13</v>
      </c>
      <c r="G35">
        <v>21</v>
      </c>
      <c r="H35">
        <f t="shared" si="4"/>
        <v>15</v>
      </c>
      <c r="I35">
        <f t="shared" si="5"/>
        <v>36</v>
      </c>
      <c r="J35" t="str">
        <f t="shared" si="1"/>
        <v>YES</v>
      </c>
      <c r="K35" t="str">
        <f t="shared" si="6"/>
        <v>YES</v>
      </c>
      <c r="L35" t="str">
        <f t="shared" si="2"/>
        <v>NO</v>
      </c>
    </row>
    <row r="36" spans="1:12">
      <c r="A36" s="2">
        <f t="shared" si="0"/>
        <v>46048</v>
      </c>
      <c r="B36">
        <f t="shared" si="3"/>
        <v>1</v>
      </c>
      <c r="C36" t="s">
        <v>10</v>
      </c>
      <c r="D36">
        <v>277</v>
      </c>
      <c r="E36">
        <v>272</v>
      </c>
      <c r="F36">
        <f t="shared" si="7"/>
        <v>5</v>
      </c>
      <c r="G36">
        <v>5</v>
      </c>
      <c r="H36">
        <f t="shared" si="4"/>
        <v>15</v>
      </c>
      <c r="I36">
        <f t="shared" si="5"/>
        <v>20</v>
      </c>
      <c r="J36" t="str">
        <f t="shared" si="1"/>
        <v>NO</v>
      </c>
      <c r="K36" t="str">
        <f t="shared" si="6"/>
        <v>NO</v>
      </c>
      <c r="L36" t="str">
        <f t="shared" si="2"/>
        <v>NO</v>
      </c>
    </row>
    <row r="37" spans="1:12">
      <c r="A37" s="2">
        <f t="shared" si="0"/>
        <v>46048</v>
      </c>
      <c r="B37">
        <f t="shared" si="3"/>
        <v>2</v>
      </c>
      <c r="C37" t="s">
        <v>11</v>
      </c>
      <c r="D37">
        <v>312</v>
      </c>
      <c r="E37">
        <v>304</v>
      </c>
      <c r="F37">
        <f t="shared" si="7"/>
        <v>8</v>
      </c>
      <c r="G37">
        <v>7</v>
      </c>
      <c r="H37">
        <f t="shared" si="4"/>
        <v>12</v>
      </c>
      <c r="I37">
        <f t="shared" si="5"/>
        <v>19</v>
      </c>
      <c r="J37" t="str">
        <f t="shared" si="1"/>
        <v>NO</v>
      </c>
      <c r="K37" t="str">
        <f t="shared" si="6"/>
        <v>NO</v>
      </c>
      <c r="L37" t="str">
        <f t="shared" si="2"/>
        <v>NO</v>
      </c>
    </row>
    <row r="38" spans="1:12">
      <c r="A38" s="2">
        <f t="shared" si="0"/>
        <v>46049</v>
      </c>
      <c r="B38">
        <f t="shared" si="3"/>
        <v>1</v>
      </c>
      <c r="C38" t="s">
        <v>11</v>
      </c>
      <c r="D38">
        <v>731</v>
      </c>
      <c r="E38">
        <v>728</v>
      </c>
      <c r="F38">
        <f t="shared" si="7"/>
        <v>3</v>
      </c>
      <c r="G38">
        <v>5</v>
      </c>
      <c r="H38">
        <f t="shared" si="4"/>
        <v>12</v>
      </c>
      <c r="I38">
        <f t="shared" si="5"/>
        <v>17</v>
      </c>
      <c r="J38" t="str">
        <f t="shared" si="1"/>
        <v>NO</v>
      </c>
      <c r="K38" t="str">
        <f t="shared" si="6"/>
        <v>NO</v>
      </c>
      <c r="L38" t="str">
        <f t="shared" si="2"/>
        <v>NO</v>
      </c>
    </row>
    <row r="39" spans="1:12">
      <c r="A39" s="2">
        <f t="shared" si="0"/>
        <v>46049</v>
      </c>
      <c r="B39">
        <f t="shared" si="3"/>
        <v>2</v>
      </c>
      <c r="C39" t="s">
        <v>11</v>
      </c>
      <c r="D39">
        <v>248</v>
      </c>
      <c r="E39">
        <v>248</v>
      </c>
      <c r="F39">
        <f t="shared" si="7"/>
        <v>0</v>
      </c>
      <c r="G39">
        <v>5</v>
      </c>
      <c r="H39">
        <f t="shared" si="4"/>
        <v>12</v>
      </c>
      <c r="I39">
        <f t="shared" si="5"/>
        <v>17</v>
      </c>
      <c r="J39" t="str">
        <f t="shared" si="1"/>
        <v>NO</v>
      </c>
      <c r="K39" t="str">
        <f t="shared" si="6"/>
        <v>NO</v>
      </c>
      <c r="L39" t="str">
        <f t="shared" si="2"/>
        <v>NO</v>
      </c>
    </row>
    <row r="40" spans="1:12">
      <c r="A40" s="2">
        <f t="shared" si="0"/>
        <v>46050</v>
      </c>
      <c r="B40">
        <f t="shared" si="3"/>
        <v>1</v>
      </c>
      <c r="C40" t="s">
        <v>10</v>
      </c>
      <c r="D40">
        <v>509</v>
      </c>
      <c r="E40">
        <v>489</v>
      </c>
      <c r="F40">
        <f t="shared" si="7"/>
        <v>20</v>
      </c>
      <c r="G40">
        <v>28</v>
      </c>
      <c r="H40">
        <f t="shared" si="4"/>
        <v>15</v>
      </c>
      <c r="I40">
        <f t="shared" si="5"/>
        <v>43</v>
      </c>
      <c r="J40" t="str">
        <f t="shared" si="1"/>
        <v>YES</v>
      </c>
      <c r="K40" t="str">
        <f t="shared" si="6"/>
        <v>YES</v>
      </c>
      <c r="L40" t="str">
        <f t="shared" si="2"/>
        <v>YES</v>
      </c>
    </row>
    <row r="41" spans="1:12">
      <c r="A41" s="2">
        <f t="shared" si="0"/>
        <v>46050</v>
      </c>
      <c r="B41">
        <f t="shared" si="3"/>
        <v>2</v>
      </c>
      <c r="C41" t="s">
        <v>10</v>
      </c>
      <c r="D41">
        <v>379</v>
      </c>
      <c r="E41">
        <v>367</v>
      </c>
      <c r="F41">
        <f t="shared" si="7"/>
        <v>12</v>
      </c>
      <c r="G41">
        <v>24</v>
      </c>
      <c r="H41">
        <f t="shared" si="4"/>
        <v>15</v>
      </c>
      <c r="I41">
        <f t="shared" si="5"/>
        <v>39</v>
      </c>
      <c r="J41" t="str">
        <f t="shared" si="1"/>
        <v>YES</v>
      </c>
      <c r="K41" t="str">
        <f t="shared" si="6"/>
        <v>YES</v>
      </c>
      <c r="L41" t="str">
        <f t="shared" si="2"/>
        <v>NO</v>
      </c>
    </row>
    <row r="42" spans="1:12">
      <c r="A42" s="2">
        <f t="shared" si="0"/>
        <v>46051</v>
      </c>
      <c r="B42">
        <f t="shared" si="3"/>
        <v>1</v>
      </c>
      <c r="C42" t="s">
        <v>10</v>
      </c>
      <c r="D42">
        <v>350</v>
      </c>
      <c r="E42">
        <v>340</v>
      </c>
      <c r="F42">
        <f t="shared" si="7"/>
        <v>10</v>
      </c>
      <c r="G42">
        <v>22</v>
      </c>
      <c r="H42">
        <f t="shared" si="4"/>
        <v>15</v>
      </c>
      <c r="I42">
        <f t="shared" si="5"/>
        <v>37</v>
      </c>
      <c r="J42" t="str">
        <f t="shared" si="1"/>
        <v>YES</v>
      </c>
      <c r="K42" t="str">
        <f t="shared" si="6"/>
        <v>YES</v>
      </c>
      <c r="L42" t="str">
        <f t="shared" si="2"/>
        <v>NO</v>
      </c>
    </row>
    <row r="43" spans="1:12">
      <c r="A43" s="2">
        <f t="shared" si="0"/>
        <v>46051</v>
      </c>
      <c r="B43">
        <f t="shared" si="3"/>
        <v>2</v>
      </c>
      <c r="C43" t="s">
        <v>12</v>
      </c>
      <c r="D43">
        <v>908</v>
      </c>
      <c r="E43">
        <v>908</v>
      </c>
      <c r="F43">
        <f t="shared" si="7"/>
        <v>0</v>
      </c>
      <c r="G43">
        <v>5</v>
      </c>
      <c r="H43">
        <f t="shared" si="4"/>
        <v>20</v>
      </c>
      <c r="I43">
        <f t="shared" si="5"/>
        <v>25</v>
      </c>
      <c r="J43" t="str">
        <f t="shared" si="1"/>
        <v>YES</v>
      </c>
      <c r="K43" t="str">
        <f t="shared" si="6"/>
        <v>NO</v>
      </c>
      <c r="L43" t="str">
        <f t="shared" si="2"/>
        <v>NO</v>
      </c>
    </row>
    <row r="44" spans="1:12">
      <c r="A44" s="2">
        <f t="shared" si="0"/>
        <v>46052</v>
      </c>
      <c r="B44">
        <f t="shared" si="3"/>
        <v>1</v>
      </c>
      <c r="C44" t="s">
        <v>11</v>
      </c>
      <c r="D44">
        <v>979</v>
      </c>
      <c r="E44">
        <v>977</v>
      </c>
      <c r="F44">
        <f t="shared" si="7"/>
        <v>2</v>
      </c>
      <c r="G44">
        <v>7</v>
      </c>
      <c r="H44">
        <f t="shared" si="4"/>
        <v>12</v>
      </c>
      <c r="I44">
        <f t="shared" si="5"/>
        <v>19</v>
      </c>
      <c r="J44" t="str">
        <f t="shared" si="1"/>
        <v>NO</v>
      </c>
      <c r="K44" t="str">
        <f t="shared" si="6"/>
        <v>NO</v>
      </c>
      <c r="L44" t="str">
        <f t="shared" si="2"/>
        <v>NO</v>
      </c>
    </row>
    <row r="45" spans="1:12">
      <c r="A45" s="2">
        <f t="shared" si="0"/>
        <v>46052</v>
      </c>
      <c r="B45">
        <f t="shared" si="3"/>
        <v>2</v>
      </c>
      <c r="C45" t="s">
        <v>11</v>
      </c>
      <c r="D45">
        <v>953</v>
      </c>
      <c r="E45">
        <v>936</v>
      </c>
      <c r="F45">
        <f t="shared" si="7"/>
        <v>17</v>
      </c>
      <c r="G45">
        <v>27</v>
      </c>
      <c r="H45">
        <f t="shared" si="4"/>
        <v>12</v>
      </c>
      <c r="I45">
        <f t="shared" si="5"/>
        <v>39</v>
      </c>
      <c r="J45" t="str">
        <f t="shared" si="1"/>
        <v>YES</v>
      </c>
      <c r="K45" t="str">
        <f t="shared" si="6"/>
        <v>YES</v>
      </c>
      <c r="L45" t="str">
        <f t="shared" si="2"/>
        <v>NO</v>
      </c>
    </row>
    <row r="46" spans="1:12">
      <c r="A46" s="2">
        <f t="shared" si="0"/>
        <v>46055</v>
      </c>
      <c r="B46">
        <f t="shared" si="3"/>
        <v>1</v>
      </c>
      <c r="C46" t="s">
        <v>12</v>
      </c>
      <c r="D46">
        <v>306</v>
      </c>
      <c r="E46">
        <v>290</v>
      </c>
      <c r="F46">
        <f t="shared" si="7"/>
        <v>16</v>
      </c>
      <c r="G46">
        <v>23</v>
      </c>
      <c r="H46">
        <f t="shared" si="4"/>
        <v>20</v>
      </c>
      <c r="I46">
        <f t="shared" si="5"/>
        <v>43</v>
      </c>
      <c r="J46" t="str">
        <f t="shared" si="1"/>
        <v>YES</v>
      </c>
      <c r="K46" t="str">
        <f t="shared" si="6"/>
        <v>YES</v>
      </c>
      <c r="L46" t="str">
        <f t="shared" si="2"/>
        <v>YES</v>
      </c>
    </row>
    <row r="47" spans="1:12">
      <c r="A47" s="2">
        <f t="shared" si="0"/>
        <v>46055</v>
      </c>
      <c r="B47">
        <f t="shared" si="3"/>
        <v>2</v>
      </c>
      <c r="C47" t="s">
        <v>10</v>
      </c>
      <c r="D47">
        <v>211</v>
      </c>
      <c r="E47">
        <v>203</v>
      </c>
      <c r="F47">
        <f t="shared" si="7"/>
        <v>8</v>
      </c>
      <c r="G47">
        <v>6</v>
      </c>
      <c r="H47">
        <f t="shared" si="4"/>
        <v>15</v>
      </c>
      <c r="I47">
        <f t="shared" si="5"/>
        <v>21</v>
      </c>
      <c r="J47" t="str">
        <f t="shared" si="1"/>
        <v>YES</v>
      </c>
      <c r="K47" t="str">
        <f t="shared" si="6"/>
        <v>NO</v>
      </c>
      <c r="L47" t="str">
        <f t="shared" si="2"/>
        <v>NO</v>
      </c>
    </row>
    <row r="48" spans="1:12">
      <c r="A48" s="2">
        <f t="shared" si="0"/>
        <v>46056</v>
      </c>
      <c r="B48">
        <f t="shared" si="3"/>
        <v>1</v>
      </c>
      <c r="C48" t="s">
        <v>10</v>
      </c>
      <c r="D48">
        <v>911</v>
      </c>
      <c r="E48">
        <v>909</v>
      </c>
      <c r="F48">
        <f t="shared" si="7"/>
        <v>2</v>
      </c>
      <c r="G48">
        <v>7</v>
      </c>
      <c r="H48">
        <f t="shared" si="4"/>
        <v>15</v>
      </c>
      <c r="I48">
        <f t="shared" si="5"/>
        <v>22</v>
      </c>
      <c r="J48" t="str">
        <f t="shared" si="1"/>
        <v>YES</v>
      </c>
      <c r="K48" t="str">
        <f t="shared" si="6"/>
        <v>NO</v>
      </c>
      <c r="L48" t="str">
        <f t="shared" si="2"/>
        <v>NO</v>
      </c>
    </row>
    <row r="49" spans="1:12">
      <c r="A49" s="2">
        <f t="shared" si="0"/>
        <v>46056</v>
      </c>
      <c r="B49">
        <f t="shared" si="3"/>
        <v>2</v>
      </c>
      <c r="C49" t="s">
        <v>11</v>
      </c>
      <c r="D49">
        <v>669</v>
      </c>
      <c r="E49">
        <v>660</v>
      </c>
      <c r="F49">
        <f t="shared" si="7"/>
        <v>9</v>
      </c>
      <c r="G49">
        <v>5</v>
      </c>
      <c r="H49">
        <f t="shared" si="4"/>
        <v>12</v>
      </c>
      <c r="I49">
        <f t="shared" si="5"/>
        <v>17</v>
      </c>
      <c r="J49" t="str">
        <f t="shared" si="1"/>
        <v>NO</v>
      </c>
      <c r="K49" t="str">
        <f t="shared" si="6"/>
        <v>NO</v>
      </c>
      <c r="L49" t="str">
        <f t="shared" si="2"/>
        <v>NO</v>
      </c>
    </row>
    <row r="50" spans="1:12">
      <c r="A50" s="2">
        <f t="shared" si="0"/>
        <v>46057</v>
      </c>
      <c r="B50">
        <f t="shared" si="3"/>
        <v>1</v>
      </c>
      <c r="C50" t="s">
        <v>12</v>
      </c>
      <c r="D50">
        <v>862</v>
      </c>
      <c r="E50">
        <v>848</v>
      </c>
      <c r="F50">
        <f t="shared" si="7"/>
        <v>14</v>
      </c>
      <c r="G50">
        <v>28</v>
      </c>
      <c r="H50">
        <f t="shared" si="4"/>
        <v>20</v>
      </c>
      <c r="I50">
        <f t="shared" si="5"/>
        <v>48</v>
      </c>
      <c r="J50" t="str">
        <f t="shared" si="1"/>
        <v>YES</v>
      </c>
      <c r="K50" t="str">
        <f t="shared" si="6"/>
        <v>YES</v>
      </c>
      <c r="L50" t="str">
        <f t="shared" si="2"/>
        <v>YES</v>
      </c>
    </row>
    <row r="51" spans="1:12">
      <c r="A51" s="2">
        <f t="shared" si="0"/>
        <v>46057</v>
      </c>
      <c r="B51">
        <f t="shared" si="3"/>
        <v>2</v>
      </c>
      <c r="C51" t="s">
        <v>11</v>
      </c>
      <c r="D51">
        <v>752</v>
      </c>
      <c r="E51">
        <v>749</v>
      </c>
      <c r="F51">
        <f t="shared" si="7"/>
        <v>3</v>
      </c>
      <c r="G51">
        <v>8</v>
      </c>
      <c r="H51">
        <f t="shared" si="4"/>
        <v>12</v>
      </c>
      <c r="I51">
        <f t="shared" si="5"/>
        <v>20</v>
      </c>
      <c r="J51" t="str">
        <f t="shared" si="1"/>
        <v>NO</v>
      </c>
      <c r="K51" t="str">
        <f t="shared" si="6"/>
        <v>NO</v>
      </c>
      <c r="L51" t="str">
        <f t="shared" si="2"/>
        <v>NO</v>
      </c>
    </row>
    <row r="52" spans="1:12">
      <c r="A52" s="2">
        <f t="shared" si="0"/>
        <v>46058</v>
      </c>
      <c r="B52">
        <f t="shared" si="3"/>
        <v>1</v>
      </c>
      <c r="C52" t="s">
        <v>10</v>
      </c>
      <c r="D52">
        <v>556</v>
      </c>
      <c r="E52">
        <v>540</v>
      </c>
      <c r="F52">
        <f t="shared" si="7"/>
        <v>16</v>
      </c>
      <c r="G52">
        <v>27</v>
      </c>
      <c r="H52">
        <f t="shared" si="4"/>
        <v>15</v>
      </c>
      <c r="I52">
        <f t="shared" si="5"/>
        <v>42</v>
      </c>
      <c r="J52" t="str">
        <f t="shared" si="1"/>
        <v>YES</v>
      </c>
      <c r="K52" t="str">
        <f t="shared" si="6"/>
        <v>YES</v>
      </c>
      <c r="L52" t="str">
        <f t="shared" si="2"/>
        <v>YES</v>
      </c>
    </row>
    <row r="53" spans="1:12">
      <c r="A53" s="2">
        <f t="shared" si="0"/>
        <v>46058</v>
      </c>
      <c r="B53">
        <f t="shared" si="3"/>
        <v>2</v>
      </c>
      <c r="C53" t="s">
        <v>10</v>
      </c>
      <c r="D53">
        <v>364</v>
      </c>
      <c r="E53">
        <v>359</v>
      </c>
      <c r="F53">
        <f t="shared" si="7"/>
        <v>5</v>
      </c>
      <c r="G53">
        <v>6</v>
      </c>
      <c r="H53">
        <f t="shared" si="4"/>
        <v>15</v>
      </c>
      <c r="I53">
        <f t="shared" si="5"/>
        <v>21</v>
      </c>
      <c r="J53" t="str">
        <f t="shared" si="1"/>
        <v>YES</v>
      </c>
      <c r="K53" t="str">
        <f t="shared" si="6"/>
        <v>NO</v>
      </c>
      <c r="L53" t="str">
        <f t="shared" si="2"/>
        <v>NO</v>
      </c>
    </row>
    <row r="54" spans="1:12">
      <c r="A54" s="2">
        <f t="shared" si="0"/>
        <v>46059</v>
      </c>
      <c r="B54">
        <f t="shared" si="3"/>
        <v>1</v>
      </c>
      <c r="C54" t="s">
        <v>11</v>
      </c>
      <c r="D54">
        <v>910</v>
      </c>
      <c r="E54">
        <v>896</v>
      </c>
      <c r="F54">
        <f t="shared" si="7"/>
        <v>14</v>
      </c>
      <c r="G54">
        <v>16</v>
      </c>
      <c r="H54">
        <f t="shared" si="4"/>
        <v>12</v>
      </c>
      <c r="I54">
        <f t="shared" si="5"/>
        <v>28</v>
      </c>
      <c r="J54" t="str">
        <f t="shared" si="1"/>
        <v>YES</v>
      </c>
      <c r="K54" t="str">
        <f t="shared" si="6"/>
        <v>NO</v>
      </c>
      <c r="L54" t="str">
        <f t="shared" si="2"/>
        <v>NO</v>
      </c>
    </row>
    <row r="55" spans="1:12">
      <c r="A55" s="2">
        <f t="shared" si="0"/>
        <v>46059</v>
      </c>
      <c r="B55">
        <f t="shared" si="3"/>
        <v>2</v>
      </c>
      <c r="C55" t="s">
        <v>10</v>
      </c>
      <c r="D55">
        <v>739</v>
      </c>
      <c r="E55">
        <v>735</v>
      </c>
      <c r="F55">
        <f t="shared" si="7"/>
        <v>4</v>
      </c>
      <c r="G55">
        <v>5</v>
      </c>
      <c r="H55">
        <f t="shared" si="4"/>
        <v>15</v>
      </c>
      <c r="I55">
        <f t="shared" si="5"/>
        <v>20</v>
      </c>
      <c r="J55" t="str">
        <f t="shared" si="1"/>
        <v>NO</v>
      </c>
      <c r="K55" t="str">
        <f t="shared" si="6"/>
        <v>NO</v>
      </c>
      <c r="L55" t="str">
        <f t="shared" si="2"/>
        <v>NO</v>
      </c>
    </row>
    <row r="56" spans="1:12">
      <c r="A56" s="2">
        <f t="shared" si="0"/>
        <v>46062</v>
      </c>
      <c r="B56">
        <f t="shared" si="3"/>
        <v>1</v>
      </c>
      <c r="C56" t="s">
        <v>11</v>
      </c>
      <c r="D56">
        <v>659</v>
      </c>
      <c r="E56">
        <v>652</v>
      </c>
      <c r="F56">
        <f t="shared" si="7"/>
        <v>7</v>
      </c>
      <c r="G56">
        <v>7</v>
      </c>
      <c r="H56">
        <f t="shared" si="4"/>
        <v>12</v>
      </c>
      <c r="I56">
        <f t="shared" si="5"/>
        <v>19</v>
      </c>
      <c r="J56" t="str">
        <f t="shared" si="1"/>
        <v>NO</v>
      </c>
      <c r="K56" t="str">
        <f t="shared" si="6"/>
        <v>NO</v>
      </c>
      <c r="L56" t="str">
        <f t="shared" si="2"/>
        <v>NO</v>
      </c>
    </row>
    <row r="57" spans="1:12">
      <c r="A57" s="2">
        <f t="shared" si="0"/>
        <v>46062</v>
      </c>
      <c r="B57">
        <f t="shared" si="3"/>
        <v>2</v>
      </c>
      <c r="C57" t="s">
        <v>10</v>
      </c>
      <c r="D57">
        <v>341</v>
      </c>
      <c r="E57">
        <v>339</v>
      </c>
      <c r="F57">
        <f t="shared" si="7"/>
        <v>2</v>
      </c>
      <c r="G57">
        <v>5</v>
      </c>
      <c r="H57">
        <f t="shared" si="4"/>
        <v>15</v>
      </c>
      <c r="I57">
        <f t="shared" si="5"/>
        <v>20</v>
      </c>
      <c r="J57" t="str">
        <f t="shared" si="1"/>
        <v>NO</v>
      </c>
      <c r="K57" t="str">
        <f t="shared" si="6"/>
        <v>NO</v>
      </c>
      <c r="L57" t="str">
        <f t="shared" si="2"/>
        <v>NO</v>
      </c>
    </row>
    <row r="58" spans="1:12">
      <c r="A58" s="2">
        <f t="shared" si="0"/>
        <v>46063</v>
      </c>
      <c r="B58">
        <f t="shared" si="3"/>
        <v>1</v>
      </c>
      <c r="C58" t="s">
        <v>11</v>
      </c>
      <c r="D58">
        <v>239</v>
      </c>
      <c r="E58">
        <v>232</v>
      </c>
      <c r="F58">
        <f t="shared" si="7"/>
        <v>7</v>
      </c>
      <c r="G58">
        <v>8</v>
      </c>
      <c r="H58">
        <f t="shared" si="4"/>
        <v>12</v>
      </c>
      <c r="I58">
        <f t="shared" si="5"/>
        <v>20</v>
      </c>
      <c r="J58" t="str">
        <f t="shared" si="1"/>
        <v>NO</v>
      </c>
      <c r="K58" t="str">
        <f t="shared" si="6"/>
        <v>NO</v>
      </c>
      <c r="L58" t="str">
        <f t="shared" si="2"/>
        <v>NO</v>
      </c>
    </row>
    <row r="59" spans="1:12">
      <c r="A59" s="2">
        <f t="shared" si="0"/>
        <v>46063</v>
      </c>
      <c r="B59">
        <f t="shared" si="3"/>
        <v>2</v>
      </c>
      <c r="C59" t="s">
        <v>10</v>
      </c>
      <c r="D59">
        <v>950</v>
      </c>
      <c r="E59">
        <v>933</v>
      </c>
      <c r="F59">
        <f t="shared" si="7"/>
        <v>17</v>
      </c>
      <c r="G59">
        <v>27</v>
      </c>
      <c r="H59">
        <f t="shared" si="4"/>
        <v>15</v>
      </c>
      <c r="I59">
        <f t="shared" si="5"/>
        <v>42</v>
      </c>
      <c r="J59" t="str">
        <f t="shared" si="1"/>
        <v>YES</v>
      </c>
      <c r="K59" t="str">
        <f t="shared" si="6"/>
        <v>YES</v>
      </c>
      <c r="L59" t="str">
        <f t="shared" si="2"/>
        <v>YES</v>
      </c>
    </row>
    <row r="60" spans="1:12">
      <c r="A60" s="2">
        <f t="shared" si="0"/>
        <v>46064</v>
      </c>
      <c r="B60">
        <f t="shared" si="3"/>
        <v>1</v>
      </c>
      <c r="C60" t="s">
        <v>10</v>
      </c>
      <c r="D60">
        <v>891</v>
      </c>
      <c r="E60">
        <v>886</v>
      </c>
      <c r="F60">
        <f t="shared" si="7"/>
        <v>5</v>
      </c>
      <c r="G60">
        <v>4</v>
      </c>
      <c r="H60">
        <f t="shared" si="4"/>
        <v>15</v>
      </c>
      <c r="I60">
        <f t="shared" si="5"/>
        <v>19</v>
      </c>
      <c r="J60" t="str">
        <f t="shared" si="1"/>
        <v>NO</v>
      </c>
      <c r="K60" t="str">
        <f t="shared" si="6"/>
        <v>NO</v>
      </c>
      <c r="L60" t="str">
        <f t="shared" si="2"/>
        <v>NO</v>
      </c>
    </row>
    <row r="61" spans="1:12">
      <c r="A61" s="2">
        <f t="shared" si="0"/>
        <v>46064</v>
      </c>
      <c r="B61">
        <f t="shared" si="3"/>
        <v>2</v>
      </c>
      <c r="C61" t="s">
        <v>10</v>
      </c>
      <c r="D61">
        <v>373</v>
      </c>
      <c r="E61">
        <v>358</v>
      </c>
      <c r="F61">
        <f t="shared" si="7"/>
        <v>15</v>
      </c>
      <c r="G61">
        <v>17</v>
      </c>
      <c r="H61">
        <f t="shared" si="4"/>
        <v>15</v>
      </c>
      <c r="I61">
        <f t="shared" si="5"/>
        <v>32</v>
      </c>
      <c r="J61" t="str">
        <f t="shared" si="1"/>
        <v>YES</v>
      </c>
      <c r="K61" t="str">
        <f t="shared" si="6"/>
        <v>YES</v>
      </c>
      <c r="L61" t="str">
        <f t="shared" si="2"/>
        <v>NO</v>
      </c>
    </row>
    <row r="62" spans="1:12">
      <c r="A62" s="2">
        <f t="shared" si="0"/>
        <v>46065</v>
      </c>
      <c r="B62">
        <f t="shared" si="3"/>
        <v>1</v>
      </c>
      <c r="C62" t="s">
        <v>10</v>
      </c>
      <c r="D62">
        <v>594</v>
      </c>
      <c r="E62">
        <v>579</v>
      </c>
      <c r="F62">
        <f t="shared" si="7"/>
        <v>15</v>
      </c>
      <c r="G62">
        <v>16</v>
      </c>
      <c r="H62">
        <f t="shared" si="4"/>
        <v>15</v>
      </c>
      <c r="I62">
        <f t="shared" si="5"/>
        <v>31</v>
      </c>
      <c r="J62" t="str">
        <f t="shared" si="1"/>
        <v>YES</v>
      </c>
      <c r="K62" t="str">
        <f t="shared" si="6"/>
        <v>YES</v>
      </c>
      <c r="L62" t="str">
        <f t="shared" si="2"/>
        <v>NO</v>
      </c>
    </row>
    <row r="63" spans="1:12">
      <c r="A63" s="2">
        <f t="shared" si="0"/>
        <v>46065</v>
      </c>
      <c r="B63">
        <f t="shared" si="3"/>
        <v>2</v>
      </c>
      <c r="C63" t="s">
        <v>11</v>
      </c>
      <c r="D63">
        <v>429</v>
      </c>
      <c r="E63">
        <v>423</v>
      </c>
      <c r="F63">
        <f t="shared" si="7"/>
        <v>6</v>
      </c>
      <c r="G63">
        <v>8</v>
      </c>
      <c r="H63">
        <f t="shared" si="4"/>
        <v>12</v>
      </c>
      <c r="I63">
        <f t="shared" si="5"/>
        <v>20</v>
      </c>
      <c r="J63" t="str">
        <f t="shared" si="1"/>
        <v>NO</v>
      </c>
      <c r="K63" t="str">
        <f t="shared" si="6"/>
        <v>NO</v>
      </c>
      <c r="L63" t="str">
        <f t="shared" si="2"/>
        <v>NO</v>
      </c>
    </row>
    <row r="64" spans="1:12">
      <c r="A64" s="2">
        <f t="shared" si="0"/>
        <v>46066</v>
      </c>
      <c r="B64">
        <f t="shared" si="3"/>
        <v>1</v>
      </c>
      <c r="C64" t="s">
        <v>11</v>
      </c>
      <c r="D64">
        <v>902</v>
      </c>
      <c r="E64">
        <v>902</v>
      </c>
      <c r="F64">
        <f t="shared" si="7"/>
        <v>0</v>
      </c>
      <c r="G64">
        <v>5</v>
      </c>
      <c r="H64">
        <f t="shared" si="4"/>
        <v>12</v>
      </c>
      <c r="I64">
        <f t="shared" si="5"/>
        <v>17</v>
      </c>
      <c r="J64" t="str">
        <f t="shared" si="1"/>
        <v>NO</v>
      </c>
      <c r="K64" t="str">
        <f t="shared" si="6"/>
        <v>NO</v>
      </c>
      <c r="L64" t="str">
        <f t="shared" si="2"/>
        <v>NO</v>
      </c>
    </row>
    <row r="65" spans="1:12">
      <c r="A65" s="2">
        <f t="shared" si="0"/>
        <v>46066</v>
      </c>
      <c r="B65">
        <f t="shared" si="3"/>
        <v>2</v>
      </c>
      <c r="C65" t="s">
        <v>12</v>
      </c>
      <c r="D65">
        <v>741</v>
      </c>
      <c r="E65">
        <v>726</v>
      </c>
      <c r="F65">
        <f t="shared" si="7"/>
        <v>15</v>
      </c>
      <c r="G65">
        <v>27</v>
      </c>
      <c r="H65">
        <f t="shared" si="4"/>
        <v>20</v>
      </c>
      <c r="I65">
        <f t="shared" si="5"/>
        <v>47</v>
      </c>
      <c r="J65" t="str">
        <f t="shared" si="1"/>
        <v>YES</v>
      </c>
      <c r="K65" t="str">
        <f t="shared" si="6"/>
        <v>YES</v>
      </c>
      <c r="L65" t="str">
        <f t="shared" si="2"/>
        <v>YES</v>
      </c>
    </row>
    <row r="66" spans="1:12">
      <c r="A66" s="2">
        <f t="shared" si="0"/>
        <v>46069</v>
      </c>
      <c r="B66">
        <f t="shared" si="3"/>
        <v>1</v>
      </c>
      <c r="C66" t="s">
        <v>12</v>
      </c>
      <c r="D66">
        <v>297</v>
      </c>
      <c r="E66">
        <v>287</v>
      </c>
      <c r="F66">
        <f t="shared" si="7"/>
        <v>10</v>
      </c>
      <c r="G66">
        <v>23</v>
      </c>
      <c r="H66">
        <f t="shared" si="4"/>
        <v>20</v>
      </c>
      <c r="I66">
        <f t="shared" si="5"/>
        <v>43</v>
      </c>
      <c r="J66" t="str">
        <f t="shared" si="1"/>
        <v>YES</v>
      </c>
      <c r="K66" t="str">
        <f t="shared" si="6"/>
        <v>YES</v>
      </c>
      <c r="L66" t="str">
        <f t="shared" si="2"/>
        <v>YES</v>
      </c>
    </row>
    <row r="67" spans="1:12">
      <c r="A67" s="2">
        <f t="shared" ref="A67:A130" si="8">WORKDAY(DATE(2026,1,1)-1,INT((ROW(A66)-1)/2)+1)</f>
        <v>46069</v>
      </c>
      <c r="B67">
        <f t="shared" si="3"/>
        <v>2</v>
      </c>
      <c r="C67" t="s">
        <v>12</v>
      </c>
      <c r="D67">
        <v>586</v>
      </c>
      <c r="E67">
        <v>572</v>
      </c>
      <c r="F67">
        <f t="shared" si="7"/>
        <v>14</v>
      </c>
      <c r="G67">
        <v>17</v>
      </c>
      <c r="H67">
        <f t="shared" si="4"/>
        <v>20</v>
      </c>
      <c r="I67">
        <f t="shared" si="5"/>
        <v>37</v>
      </c>
      <c r="J67" t="str">
        <f t="shared" ref="J67:J130" si="9">IF(I67&gt;20,"YES","NO")</f>
        <v>YES</v>
      </c>
      <c r="K67" t="str">
        <f t="shared" si="6"/>
        <v>YES</v>
      </c>
      <c r="L67" t="str">
        <f t="shared" ref="L67:L130" si="10">IF(I67&gt;39,"YES","NO")</f>
        <v>NO</v>
      </c>
    </row>
    <row r="68" spans="1:12">
      <c r="A68" s="2">
        <f t="shared" si="8"/>
        <v>46070</v>
      </c>
      <c r="B68">
        <f t="shared" ref="B68:B131" si="11">IF(ISEVEN(ROW()),1,2)</f>
        <v>1</v>
      </c>
      <c r="C68" t="s">
        <v>10</v>
      </c>
      <c r="D68">
        <v>619</v>
      </c>
      <c r="E68">
        <v>612</v>
      </c>
      <c r="F68">
        <f t="shared" si="7"/>
        <v>7</v>
      </c>
      <c r="G68">
        <v>4</v>
      </c>
      <c r="H68">
        <f t="shared" ref="H68:H131" si="12">IF(C68="8 kg",15,IF(C68="7 kg",12,20))</f>
        <v>15</v>
      </c>
      <c r="I68">
        <f t="shared" ref="I68:I131" si="13">G68+H68</f>
        <v>19</v>
      </c>
      <c r="J68" t="str">
        <f t="shared" si="9"/>
        <v>NO</v>
      </c>
      <c r="K68" t="str">
        <f t="shared" ref="K68:K131" si="14">IF(I68&gt;30,"YES","NO")</f>
        <v>NO</v>
      </c>
      <c r="L68" t="str">
        <f t="shared" si="10"/>
        <v>NO</v>
      </c>
    </row>
    <row r="69" spans="1:12">
      <c r="A69" s="2">
        <f t="shared" si="8"/>
        <v>46070</v>
      </c>
      <c r="B69">
        <f t="shared" si="11"/>
        <v>2</v>
      </c>
      <c r="C69" t="s">
        <v>12</v>
      </c>
      <c r="D69">
        <v>599</v>
      </c>
      <c r="E69">
        <v>583</v>
      </c>
      <c r="F69">
        <f t="shared" si="7"/>
        <v>16</v>
      </c>
      <c r="G69">
        <v>25</v>
      </c>
      <c r="H69">
        <f t="shared" si="12"/>
        <v>20</v>
      </c>
      <c r="I69">
        <f t="shared" si="13"/>
        <v>45</v>
      </c>
      <c r="J69" t="str">
        <f t="shared" si="9"/>
        <v>YES</v>
      </c>
      <c r="K69" t="str">
        <f t="shared" si="14"/>
        <v>YES</v>
      </c>
      <c r="L69" t="str">
        <f t="shared" si="10"/>
        <v>YES</v>
      </c>
    </row>
    <row r="70" spans="1:12">
      <c r="A70" s="2">
        <f t="shared" si="8"/>
        <v>46071</v>
      </c>
      <c r="B70">
        <f t="shared" si="11"/>
        <v>1</v>
      </c>
      <c r="C70" t="s">
        <v>10</v>
      </c>
      <c r="D70">
        <v>943</v>
      </c>
      <c r="E70">
        <v>938</v>
      </c>
      <c r="F70">
        <f t="shared" si="7"/>
        <v>5</v>
      </c>
      <c r="G70">
        <v>8</v>
      </c>
      <c r="H70">
        <f t="shared" si="12"/>
        <v>15</v>
      </c>
      <c r="I70">
        <f t="shared" si="13"/>
        <v>23</v>
      </c>
      <c r="J70" t="str">
        <f t="shared" si="9"/>
        <v>YES</v>
      </c>
      <c r="K70" t="str">
        <f t="shared" si="14"/>
        <v>NO</v>
      </c>
      <c r="L70" t="str">
        <f t="shared" si="10"/>
        <v>NO</v>
      </c>
    </row>
    <row r="71" spans="1:12">
      <c r="A71" s="2">
        <f t="shared" si="8"/>
        <v>46071</v>
      </c>
      <c r="B71">
        <f t="shared" si="11"/>
        <v>2</v>
      </c>
      <c r="C71" t="s">
        <v>10</v>
      </c>
      <c r="D71">
        <v>935</v>
      </c>
      <c r="E71">
        <v>932</v>
      </c>
      <c r="F71">
        <f t="shared" si="7"/>
        <v>3</v>
      </c>
      <c r="G71">
        <v>5</v>
      </c>
      <c r="H71">
        <f t="shared" si="12"/>
        <v>15</v>
      </c>
      <c r="I71">
        <f t="shared" si="13"/>
        <v>20</v>
      </c>
      <c r="J71" t="str">
        <f t="shared" si="9"/>
        <v>NO</v>
      </c>
      <c r="K71" t="str">
        <f t="shared" si="14"/>
        <v>NO</v>
      </c>
      <c r="L71" t="str">
        <f t="shared" si="10"/>
        <v>NO</v>
      </c>
    </row>
    <row r="72" spans="1:12">
      <c r="A72" s="2">
        <f t="shared" si="8"/>
        <v>46072</v>
      </c>
      <c r="B72">
        <f t="shared" si="11"/>
        <v>1</v>
      </c>
      <c r="C72" t="s">
        <v>11</v>
      </c>
      <c r="D72">
        <v>634</v>
      </c>
      <c r="E72">
        <v>626</v>
      </c>
      <c r="F72">
        <f t="shared" si="7"/>
        <v>8</v>
      </c>
      <c r="G72">
        <v>5</v>
      </c>
      <c r="H72">
        <f t="shared" si="12"/>
        <v>12</v>
      </c>
      <c r="I72">
        <f t="shared" si="13"/>
        <v>17</v>
      </c>
      <c r="J72" t="str">
        <f t="shared" si="9"/>
        <v>NO</v>
      </c>
      <c r="K72" t="str">
        <f t="shared" si="14"/>
        <v>NO</v>
      </c>
      <c r="L72" t="str">
        <f t="shared" si="10"/>
        <v>NO</v>
      </c>
    </row>
    <row r="73" spans="1:12">
      <c r="A73" s="2">
        <f t="shared" si="8"/>
        <v>46072</v>
      </c>
      <c r="B73">
        <f t="shared" si="11"/>
        <v>2</v>
      </c>
      <c r="C73" t="s">
        <v>11</v>
      </c>
      <c r="D73">
        <v>736</v>
      </c>
      <c r="E73">
        <v>731</v>
      </c>
      <c r="F73">
        <f t="shared" si="7"/>
        <v>5</v>
      </c>
      <c r="G73">
        <v>6</v>
      </c>
      <c r="H73">
        <f t="shared" si="12"/>
        <v>12</v>
      </c>
      <c r="I73">
        <f t="shared" si="13"/>
        <v>18</v>
      </c>
      <c r="J73" t="str">
        <f t="shared" si="9"/>
        <v>NO</v>
      </c>
      <c r="K73" t="str">
        <f t="shared" si="14"/>
        <v>NO</v>
      </c>
      <c r="L73" t="str">
        <f t="shared" si="10"/>
        <v>NO</v>
      </c>
    </row>
    <row r="74" spans="1:12">
      <c r="A74" s="2">
        <f t="shared" si="8"/>
        <v>46073</v>
      </c>
      <c r="B74">
        <f t="shared" si="11"/>
        <v>1</v>
      </c>
      <c r="C74" t="s">
        <v>11</v>
      </c>
      <c r="D74">
        <v>398</v>
      </c>
      <c r="E74">
        <v>396</v>
      </c>
      <c r="F74">
        <f t="shared" si="7"/>
        <v>2</v>
      </c>
      <c r="G74">
        <v>6</v>
      </c>
      <c r="H74">
        <f t="shared" si="12"/>
        <v>12</v>
      </c>
      <c r="I74">
        <f t="shared" si="13"/>
        <v>18</v>
      </c>
      <c r="J74" t="str">
        <f t="shared" si="9"/>
        <v>NO</v>
      </c>
      <c r="K74" t="str">
        <f t="shared" si="14"/>
        <v>NO</v>
      </c>
      <c r="L74" t="str">
        <f t="shared" si="10"/>
        <v>NO</v>
      </c>
    </row>
    <row r="75" spans="1:12">
      <c r="A75" s="2">
        <f t="shared" si="8"/>
        <v>46073</v>
      </c>
      <c r="B75">
        <f t="shared" si="11"/>
        <v>2</v>
      </c>
      <c r="C75" t="s">
        <v>12</v>
      </c>
      <c r="D75">
        <v>871</v>
      </c>
      <c r="E75">
        <v>871</v>
      </c>
      <c r="F75">
        <f t="shared" si="7"/>
        <v>0</v>
      </c>
      <c r="G75">
        <v>5</v>
      </c>
      <c r="H75">
        <f t="shared" si="12"/>
        <v>20</v>
      </c>
      <c r="I75">
        <f t="shared" si="13"/>
        <v>25</v>
      </c>
      <c r="J75" t="str">
        <f t="shared" si="9"/>
        <v>YES</v>
      </c>
      <c r="K75" t="str">
        <f t="shared" si="14"/>
        <v>NO</v>
      </c>
      <c r="L75" t="str">
        <f t="shared" si="10"/>
        <v>NO</v>
      </c>
    </row>
    <row r="76" spans="1:12">
      <c r="A76" s="2">
        <f t="shared" si="8"/>
        <v>46076</v>
      </c>
      <c r="B76">
        <f t="shared" si="11"/>
        <v>1</v>
      </c>
      <c r="C76" t="s">
        <v>10</v>
      </c>
      <c r="D76">
        <v>939</v>
      </c>
      <c r="E76">
        <v>926</v>
      </c>
      <c r="F76">
        <f t="shared" si="7"/>
        <v>13</v>
      </c>
      <c r="G76">
        <v>23</v>
      </c>
      <c r="H76">
        <f t="shared" si="12"/>
        <v>15</v>
      </c>
      <c r="I76">
        <f t="shared" si="13"/>
        <v>38</v>
      </c>
      <c r="J76" t="str">
        <f t="shared" si="9"/>
        <v>YES</v>
      </c>
      <c r="K76" t="str">
        <f t="shared" si="14"/>
        <v>YES</v>
      </c>
      <c r="L76" t="str">
        <f t="shared" si="10"/>
        <v>NO</v>
      </c>
    </row>
    <row r="77" spans="1:12">
      <c r="A77" s="2">
        <f t="shared" si="8"/>
        <v>46076</v>
      </c>
      <c r="B77">
        <f t="shared" si="11"/>
        <v>2</v>
      </c>
      <c r="C77" t="s">
        <v>10</v>
      </c>
      <c r="D77">
        <v>267</v>
      </c>
      <c r="E77">
        <v>264</v>
      </c>
      <c r="F77">
        <f t="shared" si="7"/>
        <v>3</v>
      </c>
      <c r="G77">
        <v>6</v>
      </c>
      <c r="H77">
        <f t="shared" si="12"/>
        <v>15</v>
      </c>
      <c r="I77">
        <f t="shared" si="13"/>
        <v>21</v>
      </c>
      <c r="J77" t="str">
        <f t="shared" si="9"/>
        <v>YES</v>
      </c>
      <c r="K77" t="str">
        <f t="shared" si="14"/>
        <v>NO</v>
      </c>
      <c r="L77" t="str">
        <f t="shared" si="10"/>
        <v>NO</v>
      </c>
    </row>
    <row r="78" spans="1:12">
      <c r="A78" s="2">
        <f t="shared" si="8"/>
        <v>46077</v>
      </c>
      <c r="B78">
        <f t="shared" si="11"/>
        <v>1</v>
      </c>
      <c r="C78" t="s">
        <v>11</v>
      </c>
      <c r="D78">
        <v>376</v>
      </c>
      <c r="E78">
        <v>366</v>
      </c>
      <c r="F78">
        <f t="shared" si="7"/>
        <v>10</v>
      </c>
      <c r="G78">
        <v>16</v>
      </c>
      <c r="H78">
        <f t="shared" si="12"/>
        <v>12</v>
      </c>
      <c r="I78">
        <f t="shared" si="13"/>
        <v>28</v>
      </c>
      <c r="J78" t="str">
        <f t="shared" si="9"/>
        <v>YES</v>
      </c>
      <c r="K78" t="str">
        <f t="shared" si="14"/>
        <v>NO</v>
      </c>
      <c r="L78" t="str">
        <f t="shared" si="10"/>
        <v>NO</v>
      </c>
    </row>
    <row r="79" spans="1:12">
      <c r="A79" s="2">
        <f t="shared" si="8"/>
        <v>46077</v>
      </c>
      <c r="B79">
        <f t="shared" si="11"/>
        <v>2</v>
      </c>
      <c r="C79" t="s">
        <v>10</v>
      </c>
      <c r="D79">
        <v>990</v>
      </c>
      <c r="E79">
        <v>976</v>
      </c>
      <c r="F79">
        <f t="shared" si="7"/>
        <v>14</v>
      </c>
      <c r="G79">
        <v>25</v>
      </c>
      <c r="H79">
        <f t="shared" si="12"/>
        <v>15</v>
      </c>
      <c r="I79">
        <f t="shared" si="13"/>
        <v>40</v>
      </c>
      <c r="J79" t="str">
        <f t="shared" si="9"/>
        <v>YES</v>
      </c>
      <c r="K79" t="str">
        <f t="shared" si="14"/>
        <v>YES</v>
      </c>
      <c r="L79" t="str">
        <f t="shared" si="10"/>
        <v>YES</v>
      </c>
    </row>
    <row r="80" spans="1:12">
      <c r="A80" s="2">
        <f t="shared" si="8"/>
        <v>46078</v>
      </c>
      <c r="B80">
        <f t="shared" si="11"/>
        <v>1</v>
      </c>
      <c r="C80" t="s">
        <v>11</v>
      </c>
      <c r="D80">
        <v>342</v>
      </c>
      <c r="E80">
        <v>326</v>
      </c>
      <c r="F80">
        <f t="shared" ref="F80:F143" si="15">D80-E80</f>
        <v>16</v>
      </c>
      <c r="G80">
        <v>16</v>
      </c>
      <c r="H80">
        <f t="shared" si="12"/>
        <v>12</v>
      </c>
      <c r="I80">
        <f t="shared" si="13"/>
        <v>28</v>
      </c>
      <c r="J80" t="str">
        <f t="shared" si="9"/>
        <v>YES</v>
      </c>
      <c r="K80" t="str">
        <f t="shared" si="14"/>
        <v>NO</v>
      </c>
      <c r="L80" t="str">
        <f t="shared" si="10"/>
        <v>NO</v>
      </c>
    </row>
    <row r="81" spans="1:12">
      <c r="A81" s="2">
        <f t="shared" si="8"/>
        <v>46078</v>
      </c>
      <c r="B81">
        <f t="shared" si="11"/>
        <v>2</v>
      </c>
      <c r="C81" t="s">
        <v>10</v>
      </c>
      <c r="D81">
        <v>998</v>
      </c>
      <c r="E81">
        <v>979</v>
      </c>
      <c r="F81">
        <f t="shared" si="15"/>
        <v>19</v>
      </c>
      <c r="G81">
        <v>20</v>
      </c>
      <c r="H81">
        <f t="shared" si="12"/>
        <v>15</v>
      </c>
      <c r="I81">
        <f t="shared" si="13"/>
        <v>35</v>
      </c>
      <c r="J81" t="str">
        <f t="shared" si="9"/>
        <v>YES</v>
      </c>
      <c r="K81" t="str">
        <f t="shared" si="14"/>
        <v>YES</v>
      </c>
      <c r="L81" t="str">
        <f t="shared" si="10"/>
        <v>NO</v>
      </c>
    </row>
    <row r="82" spans="1:12">
      <c r="A82" s="2">
        <f t="shared" si="8"/>
        <v>46079</v>
      </c>
      <c r="B82">
        <f t="shared" si="11"/>
        <v>1</v>
      </c>
      <c r="C82" t="s">
        <v>12</v>
      </c>
      <c r="D82">
        <v>804</v>
      </c>
      <c r="E82">
        <v>790</v>
      </c>
      <c r="F82">
        <f t="shared" si="15"/>
        <v>14</v>
      </c>
      <c r="G82">
        <v>18</v>
      </c>
      <c r="H82">
        <f t="shared" si="12"/>
        <v>20</v>
      </c>
      <c r="I82">
        <f t="shared" si="13"/>
        <v>38</v>
      </c>
      <c r="J82" t="str">
        <f t="shared" si="9"/>
        <v>YES</v>
      </c>
      <c r="K82" t="str">
        <f t="shared" si="14"/>
        <v>YES</v>
      </c>
      <c r="L82" t="str">
        <f t="shared" si="10"/>
        <v>NO</v>
      </c>
    </row>
    <row r="83" spans="1:12">
      <c r="A83" s="2">
        <f t="shared" si="8"/>
        <v>46079</v>
      </c>
      <c r="B83">
        <f t="shared" si="11"/>
        <v>2</v>
      </c>
      <c r="C83" t="s">
        <v>12</v>
      </c>
      <c r="D83">
        <v>673</v>
      </c>
      <c r="E83">
        <v>656</v>
      </c>
      <c r="F83">
        <f t="shared" si="15"/>
        <v>17</v>
      </c>
      <c r="G83">
        <v>22</v>
      </c>
      <c r="H83">
        <f t="shared" si="12"/>
        <v>20</v>
      </c>
      <c r="I83">
        <f t="shared" si="13"/>
        <v>42</v>
      </c>
      <c r="J83" t="str">
        <f t="shared" si="9"/>
        <v>YES</v>
      </c>
      <c r="K83" t="str">
        <f t="shared" si="14"/>
        <v>YES</v>
      </c>
      <c r="L83" t="str">
        <f t="shared" si="10"/>
        <v>YES</v>
      </c>
    </row>
    <row r="84" spans="1:12">
      <c r="A84" s="2">
        <f t="shared" si="8"/>
        <v>46080</v>
      </c>
      <c r="B84">
        <f t="shared" si="11"/>
        <v>1</v>
      </c>
      <c r="C84" t="s">
        <v>11</v>
      </c>
      <c r="D84">
        <v>799</v>
      </c>
      <c r="E84">
        <v>796</v>
      </c>
      <c r="F84">
        <f t="shared" si="15"/>
        <v>3</v>
      </c>
      <c r="G84">
        <v>4</v>
      </c>
      <c r="H84">
        <f t="shared" si="12"/>
        <v>12</v>
      </c>
      <c r="I84">
        <f t="shared" si="13"/>
        <v>16</v>
      </c>
      <c r="J84" t="str">
        <f t="shared" si="9"/>
        <v>NO</v>
      </c>
      <c r="K84" t="str">
        <f t="shared" si="14"/>
        <v>NO</v>
      </c>
      <c r="L84" t="str">
        <f t="shared" si="10"/>
        <v>NO</v>
      </c>
    </row>
    <row r="85" spans="1:12">
      <c r="A85" s="2">
        <f t="shared" si="8"/>
        <v>46080</v>
      </c>
      <c r="B85">
        <f t="shared" si="11"/>
        <v>2</v>
      </c>
      <c r="C85" t="s">
        <v>11</v>
      </c>
      <c r="D85">
        <v>625</v>
      </c>
      <c r="E85">
        <v>619</v>
      </c>
      <c r="F85">
        <f t="shared" si="15"/>
        <v>6</v>
      </c>
      <c r="G85">
        <v>5</v>
      </c>
      <c r="H85">
        <f t="shared" si="12"/>
        <v>12</v>
      </c>
      <c r="I85">
        <f t="shared" si="13"/>
        <v>17</v>
      </c>
      <c r="J85" t="str">
        <f t="shared" si="9"/>
        <v>NO</v>
      </c>
      <c r="K85" t="str">
        <f t="shared" si="14"/>
        <v>NO</v>
      </c>
      <c r="L85" t="str">
        <f t="shared" si="10"/>
        <v>NO</v>
      </c>
    </row>
    <row r="86" spans="1:12">
      <c r="A86" s="2">
        <f t="shared" si="8"/>
        <v>46083</v>
      </c>
      <c r="B86">
        <f t="shared" si="11"/>
        <v>1</v>
      </c>
      <c r="C86" t="s">
        <v>12</v>
      </c>
      <c r="D86">
        <v>757</v>
      </c>
      <c r="E86">
        <v>738</v>
      </c>
      <c r="F86">
        <f t="shared" si="15"/>
        <v>19</v>
      </c>
      <c r="G86">
        <v>22</v>
      </c>
      <c r="H86">
        <f t="shared" si="12"/>
        <v>20</v>
      </c>
      <c r="I86">
        <f t="shared" si="13"/>
        <v>42</v>
      </c>
      <c r="J86" t="str">
        <f t="shared" si="9"/>
        <v>YES</v>
      </c>
      <c r="K86" t="str">
        <f t="shared" si="14"/>
        <v>YES</v>
      </c>
      <c r="L86" t="str">
        <f t="shared" si="10"/>
        <v>YES</v>
      </c>
    </row>
    <row r="87" spans="1:12">
      <c r="A87" s="2">
        <f t="shared" si="8"/>
        <v>46083</v>
      </c>
      <c r="B87">
        <f t="shared" si="11"/>
        <v>2</v>
      </c>
      <c r="C87" t="s">
        <v>11</v>
      </c>
      <c r="D87">
        <v>502</v>
      </c>
      <c r="E87">
        <v>483</v>
      </c>
      <c r="F87">
        <f t="shared" si="15"/>
        <v>19</v>
      </c>
      <c r="G87">
        <v>22</v>
      </c>
      <c r="H87">
        <f t="shared" si="12"/>
        <v>12</v>
      </c>
      <c r="I87">
        <f t="shared" si="13"/>
        <v>34</v>
      </c>
      <c r="J87" t="str">
        <f t="shared" si="9"/>
        <v>YES</v>
      </c>
      <c r="K87" t="str">
        <f t="shared" si="14"/>
        <v>YES</v>
      </c>
      <c r="L87" t="str">
        <f t="shared" si="10"/>
        <v>NO</v>
      </c>
    </row>
    <row r="88" spans="1:12">
      <c r="A88" s="2">
        <f t="shared" si="8"/>
        <v>46084</v>
      </c>
      <c r="B88">
        <f t="shared" si="11"/>
        <v>1</v>
      </c>
      <c r="C88" t="s">
        <v>11</v>
      </c>
      <c r="D88">
        <v>317</v>
      </c>
      <c r="E88">
        <v>309</v>
      </c>
      <c r="F88">
        <f t="shared" si="15"/>
        <v>8</v>
      </c>
      <c r="G88">
        <v>4</v>
      </c>
      <c r="H88">
        <f t="shared" si="12"/>
        <v>12</v>
      </c>
      <c r="I88">
        <f t="shared" si="13"/>
        <v>16</v>
      </c>
      <c r="J88" t="str">
        <f t="shared" si="9"/>
        <v>NO</v>
      </c>
      <c r="K88" t="str">
        <f t="shared" si="14"/>
        <v>NO</v>
      </c>
      <c r="L88" t="str">
        <f t="shared" si="10"/>
        <v>NO</v>
      </c>
    </row>
    <row r="89" spans="1:12">
      <c r="A89" s="2">
        <f t="shared" si="8"/>
        <v>46084</v>
      </c>
      <c r="B89">
        <f t="shared" si="11"/>
        <v>2</v>
      </c>
      <c r="C89" t="s">
        <v>11</v>
      </c>
      <c r="D89">
        <v>825</v>
      </c>
      <c r="E89">
        <v>815</v>
      </c>
      <c r="F89">
        <f t="shared" si="15"/>
        <v>10</v>
      </c>
      <c r="G89">
        <v>23</v>
      </c>
      <c r="H89">
        <f t="shared" si="12"/>
        <v>12</v>
      </c>
      <c r="I89">
        <f t="shared" si="13"/>
        <v>35</v>
      </c>
      <c r="J89" t="str">
        <f t="shared" si="9"/>
        <v>YES</v>
      </c>
      <c r="K89" t="str">
        <f t="shared" si="14"/>
        <v>YES</v>
      </c>
      <c r="L89" t="str">
        <f t="shared" si="10"/>
        <v>NO</v>
      </c>
    </row>
    <row r="90" spans="1:12">
      <c r="A90" s="2">
        <f t="shared" si="8"/>
        <v>46085</v>
      </c>
      <c r="B90">
        <f t="shared" si="11"/>
        <v>1</v>
      </c>
      <c r="C90" t="s">
        <v>11</v>
      </c>
      <c r="D90">
        <v>845</v>
      </c>
      <c r="E90">
        <v>839</v>
      </c>
      <c r="F90">
        <f t="shared" si="15"/>
        <v>6</v>
      </c>
      <c r="G90">
        <v>5</v>
      </c>
      <c r="H90">
        <f t="shared" si="12"/>
        <v>12</v>
      </c>
      <c r="I90">
        <f t="shared" si="13"/>
        <v>17</v>
      </c>
      <c r="J90" t="str">
        <f t="shared" si="9"/>
        <v>NO</v>
      </c>
      <c r="K90" t="str">
        <f t="shared" si="14"/>
        <v>NO</v>
      </c>
      <c r="L90" t="str">
        <f t="shared" si="10"/>
        <v>NO</v>
      </c>
    </row>
    <row r="91" spans="1:12">
      <c r="A91" s="2">
        <f t="shared" si="8"/>
        <v>46085</v>
      </c>
      <c r="B91">
        <f t="shared" si="11"/>
        <v>2</v>
      </c>
      <c r="C91" t="s">
        <v>12</v>
      </c>
      <c r="D91">
        <v>318</v>
      </c>
      <c r="E91">
        <v>306</v>
      </c>
      <c r="F91">
        <f t="shared" si="15"/>
        <v>12</v>
      </c>
      <c r="G91">
        <v>16</v>
      </c>
      <c r="H91">
        <f t="shared" si="12"/>
        <v>20</v>
      </c>
      <c r="I91">
        <f t="shared" si="13"/>
        <v>36</v>
      </c>
      <c r="J91" t="str">
        <f t="shared" si="9"/>
        <v>YES</v>
      </c>
      <c r="K91" t="str">
        <f t="shared" si="14"/>
        <v>YES</v>
      </c>
      <c r="L91" t="str">
        <f t="shared" si="10"/>
        <v>NO</v>
      </c>
    </row>
    <row r="92" spans="1:12">
      <c r="A92" s="2">
        <f t="shared" si="8"/>
        <v>46086</v>
      </c>
      <c r="B92">
        <f t="shared" si="11"/>
        <v>1</v>
      </c>
      <c r="C92" t="s">
        <v>11</v>
      </c>
      <c r="D92">
        <v>652</v>
      </c>
      <c r="E92">
        <v>635</v>
      </c>
      <c r="F92">
        <f t="shared" si="15"/>
        <v>17</v>
      </c>
      <c r="G92">
        <v>24</v>
      </c>
      <c r="H92">
        <f t="shared" si="12"/>
        <v>12</v>
      </c>
      <c r="I92">
        <f t="shared" si="13"/>
        <v>36</v>
      </c>
      <c r="J92" t="str">
        <f t="shared" si="9"/>
        <v>YES</v>
      </c>
      <c r="K92" t="str">
        <f t="shared" si="14"/>
        <v>YES</v>
      </c>
      <c r="L92" t="str">
        <f t="shared" si="10"/>
        <v>NO</v>
      </c>
    </row>
    <row r="93" spans="1:12">
      <c r="A93" s="2">
        <f t="shared" si="8"/>
        <v>46086</v>
      </c>
      <c r="B93">
        <f t="shared" si="11"/>
        <v>2</v>
      </c>
      <c r="C93" t="s">
        <v>12</v>
      </c>
      <c r="D93">
        <v>431</v>
      </c>
      <c r="E93">
        <v>411</v>
      </c>
      <c r="F93">
        <f t="shared" si="15"/>
        <v>20</v>
      </c>
      <c r="G93">
        <v>17</v>
      </c>
      <c r="H93">
        <f t="shared" si="12"/>
        <v>20</v>
      </c>
      <c r="I93">
        <f t="shared" si="13"/>
        <v>37</v>
      </c>
      <c r="J93" t="str">
        <f t="shared" si="9"/>
        <v>YES</v>
      </c>
      <c r="K93" t="str">
        <f t="shared" si="14"/>
        <v>YES</v>
      </c>
      <c r="L93" t="str">
        <f t="shared" si="10"/>
        <v>NO</v>
      </c>
    </row>
    <row r="94" spans="1:12">
      <c r="A94" s="2">
        <f t="shared" si="8"/>
        <v>46087</v>
      </c>
      <c r="B94">
        <f t="shared" si="11"/>
        <v>1</v>
      </c>
      <c r="C94" t="s">
        <v>10</v>
      </c>
      <c r="D94">
        <v>933</v>
      </c>
      <c r="E94">
        <v>930</v>
      </c>
      <c r="F94">
        <f t="shared" si="15"/>
        <v>3</v>
      </c>
      <c r="G94">
        <v>5</v>
      </c>
      <c r="H94">
        <f t="shared" si="12"/>
        <v>15</v>
      </c>
      <c r="I94">
        <f t="shared" si="13"/>
        <v>20</v>
      </c>
      <c r="J94" t="str">
        <f t="shared" si="9"/>
        <v>NO</v>
      </c>
      <c r="K94" t="str">
        <f t="shared" si="14"/>
        <v>NO</v>
      </c>
      <c r="L94" t="str">
        <f t="shared" si="10"/>
        <v>NO</v>
      </c>
    </row>
    <row r="95" spans="1:12">
      <c r="A95" s="2">
        <f t="shared" si="8"/>
        <v>46087</v>
      </c>
      <c r="B95">
        <f t="shared" si="11"/>
        <v>2</v>
      </c>
      <c r="C95" t="s">
        <v>12</v>
      </c>
      <c r="D95">
        <v>303</v>
      </c>
      <c r="E95">
        <v>298</v>
      </c>
      <c r="F95">
        <f t="shared" si="15"/>
        <v>5</v>
      </c>
      <c r="G95">
        <v>5</v>
      </c>
      <c r="H95">
        <f t="shared" si="12"/>
        <v>20</v>
      </c>
      <c r="I95">
        <f t="shared" si="13"/>
        <v>25</v>
      </c>
      <c r="J95" t="str">
        <f t="shared" si="9"/>
        <v>YES</v>
      </c>
      <c r="K95" t="str">
        <f t="shared" si="14"/>
        <v>NO</v>
      </c>
      <c r="L95" t="str">
        <f t="shared" si="10"/>
        <v>NO</v>
      </c>
    </row>
    <row r="96" spans="1:12">
      <c r="A96" s="2">
        <f t="shared" si="8"/>
        <v>46090</v>
      </c>
      <c r="B96">
        <f t="shared" si="11"/>
        <v>1</v>
      </c>
      <c r="C96" t="s">
        <v>11</v>
      </c>
      <c r="D96">
        <v>604</v>
      </c>
      <c r="E96">
        <v>600</v>
      </c>
      <c r="F96">
        <f t="shared" si="15"/>
        <v>4</v>
      </c>
      <c r="G96">
        <v>7</v>
      </c>
      <c r="H96">
        <f t="shared" si="12"/>
        <v>12</v>
      </c>
      <c r="I96">
        <f t="shared" si="13"/>
        <v>19</v>
      </c>
      <c r="J96" t="str">
        <f t="shared" si="9"/>
        <v>NO</v>
      </c>
      <c r="K96" t="str">
        <f t="shared" si="14"/>
        <v>NO</v>
      </c>
      <c r="L96" t="str">
        <f t="shared" si="10"/>
        <v>NO</v>
      </c>
    </row>
    <row r="97" spans="1:12">
      <c r="A97" s="2">
        <f t="shared" si="8"/>
        <v>46090</v>
      </c>
      <c r="B97">
        <f t="shared" si="11"/>
        <v>2</v>
      </c>
      <c r="C97" t="s">
        <v>10</v>
      </c>
      <c r="D97">
        <v>766</v>
      </c>
      <c r="E97">
        <v>755</v>
      </c>
      <c r="F97">
        <f t="shared" si="15"/>
        <v>11</v>
      </c>
      <c r="G97">
        <v>15</v>
      </c>
      <c r="H97">
        <f t="shared" si="12"/>
        <v>15</v>
      </c>
      <c r="I97">
        <f t="shared" si="13"/>
        <v>30</v>
      </c>
      <c r="J97" t="str">
        <f t="shared" si="9"/>
        <v>YES</v>
      </c>
      <c r="K97" t="str">
        <f t="shared" si="14"/>
        <v>NO</v>
      </c>
      <c r="L97" t="str">
        <f t="shared" si="10"/>
        <v>NO</v>
      </c>
    </row>
    <row r="98" spans="1:12">
      <c r="A98" s="2">
        <f t="shared" si="8"/>
        <v>46091</v>
      </c>
      <c r="B98">
        <f t="shared" si="11"/>
        <v>1</v>
      </c>
      <c r="C98" t="s">
        <v>12</v>
      </c>
      <c r="D98">
        <v>648</v>
      </c>
      <c r="E98">
        <v>633</v>
      </c>
      <c r="F98">
        <f t="shared" si="15"/>
        <v>15</v>
      </c>
      <c r="G98">
        <v>15</v>
      </c>
      <c r="H98">
        <f t="shared" si="12"/>
        <v>20</v>
      </c>
      <c r="I98">
        <f t="shared" si="13"/>
        <v>35</v>
      </c>
      <c r="J98" t="str">
        <f t="shared" si="9"/>
        <v>YES</v>
      </c>
      <c r="K98" t="str">
        <f t="shared" si="14"/>
        <v>YES</v>
      </c>
      <c r="L98" t="str">
        <f t="shared" si="10"/>
        <v>NO</v>
      </c>
    </row>
    <row r="99" spans="1:12">
      <c r="A99" s="2">
        <f t="shared" si="8"/>
        <v>46091</v>
      </c>
      <c r="B99">
        <f t="shared" si="11"/>
        <v>2</v>
      </c>
      <c r="C99" t="s">
        <v>12</v>
      </c>
      <c r="D99">
        <v>870</v>
      </c>
      <c r="E99">
        <v>854</v>
      </c>
      <c r="F99">
        <f t="shared" si="15"/>
        <v>16</v>
      </c>
      <c r="G99">
        <v>17</v>
      </c>
      <c r="H99">
        <f t="shared" si="12"/>
        <v>20</v>
      </c>
      <c r="I99">
        <f t="shared" si="13"/>
        <v>37</v>
      </c>
      <c r="J99" t="str">
        <f t="shared" si="9"/>
        <v>YES</v>
      </c>
      <c r="K99" t="str">
        <f t="shared" si="14"/>
        <v>YES</v>
      </c>
      <c r="L99" t="str">
        <f t="shared" si="10"/>
        <v>NO</v>
      </c>
    </row>
    <row r="100" spans="1:12">
      <c r="A100" s="2">
        <f t="shared" si="8"/>
        <v>46092</v>
      </c>
      <c r="B100">
        <f t="shared" si="11"/>
        <v>1</v>
      </c>
      <c r="C100" t="s">
        <v>12</v>
      </c>
      <c r="D100">
        <v>758</v>
      </c>
      <c r="E100">
        <v>757</v>
      </c>
      <c r="F100">
        <f t="shared" si="15"/>
        <v>1</v>
      </c>
      <c r="G100">
        <v>6</v>
      </c>
      <c r="H100">
        <f t="shared" si="12"/>
        <v>20</v>
      </c>
      <c r="I100">
        <f t="shared" si="13"/>
        <v>26</v>
      </c>
      <c r="J100" t="str">
        <f t="shared" si="9"/>
        <v>YES</v>
      </c>
      <c r="K100" t="str">
        <f t="shared" si="14"/>
        <v>NO</v>
      </c>
      <c r="L100" t="str">
        <f t="shared" si="10"/>
        <v>NO</v>
      </c>
    </row>
    <row r="101" spans="1:12">
      <c r="A101" s="2">
        <f t="shared" si="8"/>
        <v>46092</v>
      </c>
      <c r="B101">
        <f t="shared" si="11"/>
        <v>2</v>
      </c>
      <c r="C101" t="s">
        <v>10</v>
      </c>
      <c r="D101">
        <v>605</v>
      </c>
      <c r="E101">
        <v>585</v>
      </c>
      <c r="F101">
        <f t="shared" si="15"/>
        <v>20</v>
      </c>
      <c r="G101">
        <v>24</v>
      </c>
      <c r="H101">
        <f t="shared" si="12"/>
        <v>15</v>
      </c>
      <c r="I101">
        <f t="shared" si="13"/>
        <v>39</v>
      </c>
      <c r="J101" t="str">
        <f t="shared" si="9"/>
        <v>YES</v>
      </c>
      <c r="K101" t="str">
        <f t="shared" si="14"/>
        <v>YES</v>
      </c>
      <c r="L101" t="str">
        <f t="shared" si="10"/>
        <v>NO</v>
      </c>
    </row>
    <row r="102" spans="1:12">
      <c r="A102" s="2">
        <f t="shared" si="8"/>
        <v>46093</v>
      </c>
      <c r="B102">
        <f t="shared" si="11"/>
        <v>1</v>
      </c>
      <c r="C102" t="s">
        <v>12</v>
      </c>
      <c r="D102">
        <v>818</v>
      </c>
      <c r="E102">
        <v>818</v>
      </c>
      <c r="F102">
        <f t="shared" si="15"/>
        <v>0</v>
      </c>
      <c r="G102">
        <v>7</v>
      </c>
      <c r="H102">
        <f t="shared" si="12"/>
        <v>20</v>
      </c>
      <c r="I102">
        <f t="shared" si="13"/>
        <v>27</v>
      </c>
      <c r="J102" t="str">
        <f t="shared" si="9"/>
        <v>YES</v>
      </c>
      <c r="K102" t="str">
        <f t="shared" si="14"/>
        <v>NO</v>
      </c>
      <c r="L102" t="str">
        <f t="shared" si="10"/>
        <v>NO</v>
      </c>
    </row>
    <row r="103" spans="1:12">
      <c r="A103" s="2">
        <f t="shared" si="8"/>
        <v>46093</v>
      </c>
      <c r="B103">
        <f t="shared" si="11"/>
        <v>2</v>
      </c>
      <c r="C103" t="s">
        <v>10</v>
      </c>
      <c r="D103">
        <v>284</v>
      </c>
      <c r="E103">
        <v>265</v>
      </c>
      <c r="F103">
        <f t="shared" si="15"/>
        <v>19</v>
      </c>
      <c r="G103">
        <v>16</v>
      </c>
      <c r="H103">
        <f t="shared" si="12"/>
        <v>15</v>
      </c>
      <c r="I103">
        <f t="shared" si="13"/>
        <v>31</v>
      </c>
      <c r="J103" t="str">
        <f t="shared" si="9"/>
        <v>YES</v>
      </c>
      <c r="K103" t="str">
        <f t="shared" si="14"/>
        <v>YES</v>
      </c>
      <c r="L103" t="str">
        <f t="shared" si="10"/>
        <v>NO</v>
      </c>
    </row>
    <row r="104" spans="1:12">
      <c r="A104" s="2">
        <f t="shared" si="8"/>
        <v>46094</v>
      </c>
      <c r="B104">
        <f t="shared" si="11"/>
        <v>1</v>
      </c>
      <c r="C104" t="s">
        <v>12</v>
      </c>
      <c r="D104">
        <v>652</v>
      </c>
      <c r="E104">
        <v>633</v>
      </c>
      <c r="F104">
        <f t="shared" si="15"/>
        <v>19</v>
      </c>
      <c r="G104">
        <v>25</v>
      </c>
      <c r="H104">
        <f t="shared" si="12"/>
        <v>20</v>
      </c>
      <c r="I104">
        <f t="shared" si="13"/>
        <v>45</v>
      </c>
      <c r="J104" t="str">
        <f t="shared" si="9"/>
        <v>YES</v>
      </c>
      <c r="K104" t="str">
        <f t="shared" si="14"/>
        <v>YES</v>
      </c>
      <c r="L104" t="str">
        <f t="shared" si="10"/>
        <v>YES</v>
      </c>
    </row>
    <row r="105" spans="1:12">
      <c r="A105" s="2">
        <f t="shared" si="8"/>
        <v>46094</v>
      </c>
      <c r="B105">
        <f t="shared" si="11"/>
        <v>2</v>
      </c>
      <c r="C105" t="s">
        <v>10</v>
      </c>
      <c r="D105">
        <v>785</v>
      </c>
      <c r="E105">
        <v>775</v>
      </c>
      <c r="F105">
        <f t="shared" si="15"/>
        <v>10</v>
      </c>
      <c r="G105">
        <v>20</v>
      </c>
      <c r="H105">
        <f t="shared" si="12"/>
        <v>15</v>
      </c>
      <c r="I105">
        <f t="shared" si="13"/>
        <v>35</v>
      </c>
      <c r="J105" t="str">
        <f t="shared" si="9"/>
        <v>YES</v>
      </c>
      <c r="K105" t="str">
        <f t="shared" si="14"/>
        <v>YES</v>
      </c>
      <c r="L105" t="str">
        <f t="shared" si="10"/>
        <v>NO</v>
      </c>
    </row>
    <row r="106" spans="1:12">
      <c r="A106" s="2">
        <f t="shared" si="8"/>
        <v>46097</v>
      </c>
      <c r="B106">
        <f t="shared" si="11"/>
        <v>1</v>
      </c>
      <c r="C106" t="s">
        <v>12</v>
      </c>
      <c r="D106">
        <v>461</v>
      </c>
      <c r="E106">
        <v>456</v>
      </c>
      <c r="F106">
        <f t="shared" si="15"/>
        <v>5</v>
      </c>
      <c r="G106">
        <v>8</v>
      </c>
      <c r="H106">
        <f t="shared" si="12"/>
        <v>20</v>
      </c>
      <c r="I106">
        <f t="shared" si="13"/>
        <v>28</v>
      </c>
      <c r="J106" t="str">
        <f t="shared" si="9"/>
        <v>YES</v>
      </c>
      <c r="K106" t="str">
        <f t="shared" si="14"/>
        <v>NO</v>
      </c>
      <c r="L106" t="str">
        <f t="shared" si="10"/>
        <v>NO</v>
      </c>
    </row>
    <row r="107" spans="1:12">
      <c r="A107" s="2">
        <f t="shared" si="8"/>
        <v>46097</v>
      </c>
      <c r="B107">
        <f t="shared" si="11"/>
        <v>2</v>
      </c>
      <c r="C107" t="s">
        <v>12</v>
      </c>
      <c r="D107">
        <v>348</v>
      </c>
      <c r="E107">
        <v>333</v>
      </c>
      <c r="F107">
        <f t="shared" si="15"/>
        <v>15</v>
      </c>
      <c r="G107">
        <v>18</v>
      </c>
      <c r="H107">
        <f t="shared" si="12"/>
        <v>20</v>
      </c>
      <c r="I107">
        <f t="shared" si="13"/>
        <v>38</v>
      </c>
      <c r="J107" t="str">
        <f t="shared" si="9"/>
        <v>YES</v>
      </c>
      <c r="K107" t="str">
        <f t="shared" si="14"/>
        <v>YES</v>
      </c>
      <c r="L107" t="str">
        <f t="shared" si="10"/>
        <v>NO</v>
      </c>
    </row>
    <row r="108" spans="1:12">
      <c r="A108" s="2">
        <f t="shared" si="8"/>
        <v>46098</v>
      </c>
      <c r="B108">
        <f t="shared" si="11"/>
        <v>1</v>
      </c>
      <c r="C108" t="s">
        <v>11</v>
      </c>
      <c r="D108">
        <v>273</v>
      </c>
      <c r="E108">
        <v>256</v>
      </c>
      <c r="F108">
        <f t="shared" si="15"/>
        <v>17</v>
      </c>
      <c r="G108">
        <v>28</v>
      </c>
      <c r="H108">
        <f t="shared" si="12"/>
        <v>12</v>
      </c>
      <c r="I108">
        <f t="shared" si="13"/>
        <v>40</v>
      </c>
      <c r="J108" t="str">
        <f t="shared" si="9"/>
        <v>YES</v>
      </c>
      <c r="K108" t="str">
        <f t="shared" si="14"/>
        <v>YES</v>
      </c>
      <c r="L108" t="str">
        <f t="shared" si="10"/>
        <v>YES</v>
      </c>
    </row>
    <row r="109" spans="1:12">
      <c r="A109" s="2">
        <f t="shared" si="8"/>
        <v>46098</v>
      </c>
      <c r="B109">
        <f t="shared" si="11"/>
        <v>2</v>
      </c>
      <c r="C109" t="s">
        <v>10</v>
      </c>
      <c r="D109">
        <v>909</v>
      </c>
      <c r="E109">
        <v>900</v>
      </c>
      <c r="F109">
        <f t="shared" si="15"/>
        <v>9</v>
      </c>
      <c r="G109">
        <v>4</v>
      </c>
      <c r="H109">
        <f t="shared" si="12"/>
        <v>15</v>
      </c>
      <c r="I109">
        <f t="shared" si="13"/>
        <v>19</v>
      </c>
      <c r="J109" t="str">
        <f t="shared" si="9"/>
        <v>NO</v>
      </c>
      <c r="K109" t="str">
        <f t="shared" si="14"/>
        <v>NO</v>
      </c>
      <c r="L109" t="str">
        <f t="shared" si="10"/>
        <v>NO</v>
      </c>
    </row>
    <row r="110" spans="1:12">
      <c r="A110" s="2">
        <f t="shared" si="8"/>
        <v>46099</v>
      </c>
      <c r="B110">
        <f t="shared" si="11"/>
        <v>1</v>
      </c>
      <c r="C110" t="s">
        <v>11</v>
      </c>
      <c r="D110">
        <v>310</v>
      </c>
      <c r="E110">
        <v>297</v>
      </c>
      <c r="F110">
        <f t="shared" si="15"/>
        <v>13</v>
      </c>
      <c r="G110">
        <v>30</v>
      </c>
      <c r="H110">
        <f t="shared" si="12"/>
        <v>12</v>
      </c>
      <c r="I110">
        <f t="shared" si="13"/>
        <v>42</v>
      </c>
      <c r="J110" t="str">
        <f t="shared" si="9"/>
        <v>YES</v>
      </c>
      <c r="K110" t="str">
        <f t="shared" si="14"/>
        <v>YES</v>
      </c>
      <c r="L110" t="str">
        <f t="shared" si="10"/>
        <v>YES</v>
      </c>
    </row>
    <row r="111" spans="1:12">
      <c r="A111" s="2">
        <f t="shared" si="8"/>
        <v>46099</v>
      </c>
      <c r="B111">
        <f t="shared" si="11"/>
        <v>2</v>
      </c>
      <c r="C111" t="s">
        <v>11</v>
      </c>
      <c r="D111">
        <v>879</v>
      </c>
      <c r="E111">
        <v>868</v>
      </c>
      <c r="F111">
        <f t="shared" si="15"/>
        <v>11</v>
      </c>
      <c r="G111">
        <v>16</v>
      </c>
      <c r="H111">
        <f t="shared" si="12"/>
        <v>12</v>
      </c>
      <c r="I111">
        <f t="shared" si="13"/>
        <v>28</v>
      </c>
      <c r="J111" t="str">
        <f t="shared" si="9"/>
        <v>YES</v>
      </c>
      <c r="K111" t="str">
        <f t="shared" si="14"/>
        <v>NO</v>
      </c>
      <c r="L111" t="str">
        <f t="shared" si="10"/>
        <v>NO</v>
      </c>
    </row>
    <row r="112" spans="1:12">
      <c r="A112" s="2">
        <f t="shared" si="8"/>
        <v>46100</v>
      </c>
      <c r="B112">
        <f t="shared" si="11"/>
        <v>1</v>
      </c>
      <c r="C112" t="s">
        <v>10</v>
      </c>
      <c r="D112">
        <v>287</v>
      </c>
      <c r="E112">
        <v>287</v>
      </c>
      <c r="F112">
        <f t="shared" si="15"/>
        <v>0</v>
      </c>
      <c r="G112">
        <v>4</v>
      </c>
      <c r="H112">
        <f t="shared" si="12"/>
        <v>15</v>
      </c>
      <c r="I112">
        <f t="shared" si="13"/>
        <v>19</v>
      </c>
      <c r="J112" t="str">
        <f t="shared" si="9"/>
        <v>NO</v>
      </c>
      <c r="K112" t="str">
        <f t="shared" si="14"/>
        <v>NO</v>
      </c>
      <c r="L112" t="str">
        <f t="shared" si="10"/>
        <v>NO</v>
      </c>
    </row>
    <row r="113" spans="1:12">
      <c r="A113" s="2">
        <f t="shared" si="8"/>
        <v>46100</v>
      </c>
      <c r="B113">
        <f t="shared" si="11"/>
        <v>2</v>
      </c>
      <c r="C113" t="s">
        <v>10</v>
      </c>
      <c r="D113">
        <v>665</v>
      </c>
      <c r="E113">
        <v>654</v>
      </c>
      <c r="F113">
        <f t="shared" si="15"/>
        <v>11</v>
      </c>
      <c r="G113">
        <v>24</v>
      </c>
      <c r="H113">
        <f t="shared" si="12"/>
        <v>15</v>
      </c>
      <c r="I113">
        <f t="shared" si="13"/>
        <v>39</v>
      </c>
      <c r="J113" t="str">
        <f t="shared" si="9"/>
        <v>YES</v>
      </c>
      <c r="K113" t="str">
        <f t="shared" si="14"/>
        <v>YES</v>
      </c>
      <c r="L113" t="str">
        <f t="shared" si="10"/>
        <v>NO</v>
      </c>
    </row>
    <row r="114" spans="1:12">
      <c r="A114" s="2">
        <f t="shared" si="8"/>
        <v>46101</v>
      </c>
      <c r="B114">
        <f t="shared" si="11"/>
        <v>1</v>
      </c>
      <c r="C114" t="s">
        <v>12</v>
      </c>
      <c r="D114">
        <v>720</v>
      </c>
      <c r="E114">
        <v>704</v>
      </c>
      <c r="F114">
        <f t="shared" si="15"/>
        <v>16</v>
      </c>
      <c r="G114">
        <v>17</v>
      </c>
      <c r="H114">
        <f t="shared" si="12"/>
        <v>20</v>
      </c>
      <c r="I114">
        <f t="shared" si="13"/>
        <v>37</v>
      </c>
      <c r="J114" t="str">
        <f t="shared" si="9"/>
        <v>YES</v>
      </c>
      <c r="K114" t="str">
        <f t="shared" si="14"/>
        <v>YES</v>
      </c>
      <c r="L114" t="str">
        <f t="shared" si="10"/>
        <v>NO</v>
      </c>
    </row>
    <row r="115" spans="1:12">
      <c r="A115" s="2">
        <f t="shared" si="8"/>
        <v>46101</v>
      </c>
      <c r="B115">
        <f t="shared" si="11"/>
        <v>2</v>
      </c>
      <c r="C115" t="s">
        <v>11</v>
      </c>
      <c r="D115">
        <v>288</v>
      </c>
      <c r="E115">
        <v>276</v>
      </c>
      <c r="F115">
        <f t="shared" si="15"/>
        <v>12</v>
      </c>
      <c r="G115">
        <v>29</v>
      </c>
      <c r="H115">
        <f t="shared" si="12"/>
        <v>12</v>
      </c>
      <c r="I115">
        <f t="shared" si="13"/>
        <v>41</v>
      </c>
      <c r="J115" t="str">
        <f t="shared" si="9"/>
        <v>YES</v>
      </c>
      <c r="K115" t="str">
        <f t="shared" si="14"/>
        <v>YES</v>
      </c>
      <c r="L115" t="str">
        <f t="shared" si="10"/>
        <v>YES</v>
      </c>
    </row>
    <row r="116" spans="1:12">
      <c r="A116" s="2">
        <f t="shared" si="8"/>
        <v>46104</v>
      </c>
      <c r="B116">
        <f t="shared" si="11"/>
        <v>1</v>
      </c>
      <c r="C116" t="s">
        <v>11</v>
      </c>
      <c r="D116">
        <v>468</v>
      </c>
      <c r="E116">
        <v>464</v>
      </c>
      <c r="F116">
        <f t="shared" si="15"/>
        <v>4</v>
      </c>
      <c r="G116">
        <v>7</v>
      </c>
      <c r="H116">
        <f t="shared" si="12"/>
        <v>12</v>
      </c>
      <c r="I116">
        <f t="shared" si="13"/>
        <v>19</v>
      </c>
      <c r="J116" t="str">
        <f t="shared" si="9"/>
        <v>NO</v>
      </c>
      <c r="K116" t="str">
        <f t="shared" si="14"/>
        <v>NO</v>
      </c>
      <c r="L116" t="str">
        <f t="shared" si="10"/>
        <v>NO</v>
      </c>
    </row>
    <row r="117" spans="1:12">
      <c r="A117" s="2">
        <f t="shared" si="8"/>
        <v>46104</v>
      </c>
      <c r="B117">
        <f t="shared" si="11"/>
        <v>2</v>
      </c>
      <c r="C117" t="s">
        <v>11</v>
      </c>
      <c r="D117">
        <v>271</v>
      </c>
      <c r="E117">
        <v>261</v>
      </c>
      <c r="F117">
        <f t="shared" si="15"/>
        <v>10</v>
      </c>
      <c r="G117">
        <v>25</v>
      </c>
      <c r="H117">
        <f t="shared" si="12"/>
        <v>12</v>
      </c>
      <c r="I117">
        <f t="shared" si="13"/>
        <v>37</v>
      </c>
      <c r="J117" t="str">
        <f t="shared" si="9"/>
        <v>YES</v>
      </c>
      <c r="K117" t="str">
        <f t="shared" si="14"/>
        <v>YES</v>
      </c>
      <c r="L117" t="str">
        <f t="shared" si="10"/>
        <v>NO</v>
      </c>
    </row>
    <row r="118" spans="1:12">
      <c r="A118" s="2">
        <f t="shared" si="8"/>
        <v>46105</v>
      </c>
      <c r="B118">
        <f t="shared" si="11"/>
        <v>1</v>
      </c>
      <c r="C118" t="s">
        <v>10</v>
      </c>
      <c r="D118">
        <v>784</v>
      </c>
      <c r="E118">
        <v>770</v>
      </c>
      <c r="F118">
        <f t="shared" si="15"/>
        <v>14</v>
      </c>
      <c r="G118">
        <v>24</v>
      </c>
      <c r="H118">
        <f t="shared" si="12"/>
        <v>15</v>
      </c>
      <c r="I118">
        <f t="shared" si="13"/>
        <v>39</v>
      </c>
      <c r="J118" t="str">
        <f t="shared" si="9"/>
        <v>YES</v>
      </c>
      <c r="K118" t="str">
        <f t="shared" si="14"/>
        <v>YES</v>
      </c>
      <c r="L118" t="str">
        <f t="shared" si="10"/>
        <v>NO</v>
      </c>
    </row>
    <row r="119" spans="1:12">
      <c r="A119" s="2">
        <f t="shared" si="8"/>
        <v>46105</v>
      </c>
      <c r="B119">
        <f t="shared" si="11"/>
        <v>2</v>
      </c>
      <c r="C119" t="s">
        <v>11</v>
      </c>
      <c r="D119">
        <v>658</v>
      </c>
      <c r="E119">
        <v>639</v>
      </c>
      <c r="F119">
        <f t="shared" si="15"/>
        <v>19</v>
      </c>
      <c r="G119">
        <v>18</v>
      </c>
      <c r="H119">
        <f t="shared" si="12"/>
        <v>12</v>
      </c>
      <c r="I119">
        <f t="shared" si="13"/>
        <v>30</v>
      </c>
      <c r="J119" t="str">
        <f t="shared" si="9"/>
        <v>YES</v>
      </c>
      <c r="K119" t="str">
        <f t="shared" si="14"/>
        <v>NO</v>
      </c>
      <c r="L119" t="str">
        <f t="shared" si="10"/>
        <v>NO</v>
      </c>
    </row>
    <row r="120" spans="1:12">
      <c r="A120" s="2">
        <f t="shared" si="8"/>
        <v>46106</v>
      </c>
      <c r="B120">
        <f t="shared" si="11"/>
        <v>1</v>
      </c>
      <c r="C120" t="s">
        <v>10</v>
      </c>
      <c r="D120">
        <v>832</v>
      </c>
      <c r="E120">
        <v>827</v>
      </c>
      <c r="F120">
        <f t="shared" si="15"/>
        <v>5</v>
      </c>
      <c r="G120">
        <v>7</v>
      </c>
      <c r="H120">
        <f t="shared" si="12"/>
        <v>15</v>
      </c>
      <c r="I120">
        <f t="shared" si="13"/>
        <v>22</v>
      </c>
      <c r="J120" t="str">
        <f t="shared" si="9"/>
        <v>YES</v>
      </c>
      <c r="K120" t="str">
        <f t="shared" si="14"/>
        <v>NO</v>
      </c>
      <c r="L120" t="str">
        <f t="shared" si="10"/>
        <v>NO</v>
      </c>
    </row>
    <row r="121" spans="1:12">
      <c r="A121" s="2">
        <f t="shared" si="8"/>
        <v>46106</v>
      </c>
      <c r="B121">
        <f t="shared" si="11"/>
        <v>2</v>
      </c>
      <c r="C121" t="s">
        <v>10</v>
      </c>
      <c r="D121">
        <v>607</v>
      </c>
      <c r="E121">
        <v>594</v>
      </c>
      <c r="F121">
        <f t="shared" si="15"/>
        <v>13</v>
      </c>
      <c r="G121">
        <v>25</v>
      </c>
      <c r="H121">
        <f t="shared" si="12"/>
        <v>15</v>
      </c>
      <c r="I121">
        <f t="shared" si="13"/>
        <v>40</v>
      </c>
      <c r="J121" t="str">
        <f t="shared" si="9"/>
        <v>YES</v>
      </c>
      <c r="K121" t="str">
        <f t="shared" si="14"/>
        <v>YES</v>
      </c>
      <c r="L121" t="str">
        <f t="shared" si="10"/>
        <v>YES</v>
      </c>
    </row>
    <row r="122" spans="1:12">
      <c r="A122" s="2">
        <f t="shared" si="8"/>
        <v>46107</v>
      </c>
      <c r="B122">
        <f t="shared" si="11"/>
        <v>1</v>
      </c>
      <c r="C122" t="s">
        <v>12</v>
      </c>
      <c r="D122">
        <v>738</v>
      </c>
      <c r="E122">
        <v>732</v>
      </c>
      <c r="F122">
        <f t="shared" si="15"/>
        <v>6</v>
      </c>
      <c r="G122">
        <v>7</v>
      </c>
      <c r="H122">
        <f t="shared" si="12"/>
        <v>20</v>
      </c>
      <c r="I122">
        <f t="shared" si="13"/>
        <v>27</v>
      </c>
      <c r="J122" t="str">
        <f t="shared" si="9"/>
        <v>YES</v>
      </c>
      <c r="K122" t="str">
        <f t="shared" si="14"/>
        <v>NO</v>
      </c>
      <c r="L122" t="str">
        <f t="shared" si="10"/>
        <v>NO</v>
      </c>
    </row>
    <row r="123" spans="1:12">
      <c r="A123" s="2">
        <f t="shared" si="8"/>
        <v>46107</v>
      </c>
      <c r="B123">
        <f t="shared" si="11"/>
        <v>2</v>
      </c>
      <c r="C123" t="s">
        <v>10</v>
      </c>
      <c r="D123">
        <v>542</v>
      </c>
      <c r="E123">
        <v>542</v>
      </c>
      <c r="F123">
        <f t="shared" si="15"/>
        <v>0</v>
      </c>
      <c r="G123">
        <v>4</v>
      </c>
      <c r="H123">
        <f t="shared" si="12"/>
        <v>15</v>
      </c>
      <c r="I123">
        <f t="shared" si="13"/>
        <v>19</v>
      </c>
      <c r="J123" t="str">
        <f t="shared" si="9"/>
        <v>NO</v>
      </c>
      <c r="K123" t="str">
        <f t="shared" si="14"/>
        <v>NO</v>
      </c>
      <c r="L123" t="str">
        <f t="shared" si="10"/>
        <v>NO</v>
      </c>
    </row>
    <row r="124" spans="1:12">
      <c r="A124" s="2">
        <f t="shared" si="8"/>
        <v>46108</v>
      </c>
      <c r="B124">
        <f t="shared" si="11"/>
        <v>1</v>
      </c>
      <c r="C124" t="s">
        <v>11</v>
      </c>
      <c r="D124">
        <v>709</v>
      </c>
      <c r="E124">
        <v>700</v>
      </c>
      <c r="F124">
        <f t="shared" si="15"/>
        <v>9</v>
      </c>
      <c r="G124">
        <v>7</v>
      </c>
      <c r="H124">
        <f t="shared" si="12"/>
        <v>12</v>
      </c>
      <c r="I124">
        <f t="shared" si="13"/>
        <v>19</v>
      </c>
      <c r="J124" t="str">
        <f t="shared" si="9"/>
        <v>NO</v>
      </c>
      <c r="K124" t="str">
        <f t="shared" si="14"/>
        <v>NO</v>
      </c>
      <c r="L124" t="str">
        <f t="shared" si="10"/>
        <v>NO</v>
      </c>
    </row>
    <row r="125" spans="1:12">
      <c r="A125" s="2">
        <f t="shared" si="8"/>
        <v>46108</v>
      </c>
      <c r="B125">
        <f t="shared" si="11"/>
        <v>2</v>
      </c>
      <c r="C125" t="s">
        <v>12</v>
      </c>
      <c r="D125">
        <v>787</v>
      </c>
      <c r="E125">
        <v>774</v>
      </c>
      <c r="F125">
        <f t="shared" si="15"/>
        <v>13</v>
      </c>
      <c r="G125">
        <v>19</v>
      </c>
      <c r="H125">
        <f t="shared" si="12"/>
        <v>20</v>
      </c>
      <c r="I125">
        <f t="shared" si="13"/>
        <v>39</v>
      </c>
      <c r="J125" t="str">
        <f t="shared" si="9"/>
        <v>YES</v>
      </c>
      <c r="K125" t="str">
        <f t="shared" si="14"/>
        <v>YES</v>
      </c>
      <c r="L125" t="str">
        <f t="shared" si="10"/>
        <v>NO</v>
      </c>
    </row>
    <row r="126" spans="1:12">
      <c r="A126" s="2">
        <f t="shared" si="8"/>
        <v>46111</v>
      </c>
      <c r="B126">
        <f t="shared" si="11"/>
        <v>1</v>
      </c>
      <c r="C126" t="s">
        <v>10</v>
      </c>
      <c r="D126">
        <v>747</v>
      </c>
      <c r="E126">
        <v>746</v>
      </c>
      <c r="F126">
        <f t="shared" si="15"/>
        <v>1</v>
      </c>
      <c r="G126">
        <v>8</v>
      </c>
      <c r="H126">
        <f t="shared" si="12"/>
        <v>15</v>
      </c>
      <c r="I126">
        <f t="shared" si="13"/>
        <v>23</v>
      </c>
      <c r="J126" t="str">
        <f t="shared" si="9"/>
        <v>YES</v>
      </c>
      <c r="K126" t="str">
        <f t="shared" si="14"/>
        <v>NO</v>
      </c>
      <c r="L126" t="str">
        <f t="shared" si="10"/>
        <v>NO</v>
      </c>
    </row>
    <row r="127" spans="1:12">
      <c r="A127" s="2">
        <f t="shared" si="8"/>
        <v>46111</v>
      </c>
      <c r="B127">
        <f t="shared" si="11"/>
        <v>2</v>
      </c>
      <c r="C127" t="s">
        <v>12</v>
      </c>
      <c r="D127">
        <v>401</v>
      </c>
      <c r="E127">
        <v>391</v>
      </c>
      <c r="F127">
        <f t="shared" si="15"/>
        <v>10</v>
      </c>
      <c r="G127">
        <v>15</v>
      </c>
      <c r="H127">
        <f t="shared" si="12"/>
        <v>20</v>
      </c>
      <c r="I127">
        <f t="shared" si="13"/>
        <v>35</v>
      </c>
      <c r="J127" t="str">
        <f t="shared" si="9"/>
        <v>YES</v>
      </c>
      <c r="K127" t="str">
        <f t="shared" si="14"/>
        <v>YES</v>
      </c>
      <c r="L127" t="str">
        <f t="shared" si="10"/>
        <v>NO</v>
      </c>
    </row>
    <row r="128" spans="1:12">
      <c r="A128" s="2">
        <f t="shared" si="8"/>
        <v>46112</v>
      </c>
      <c r="B128">
        <f t="shared" si="11"/>
        <v>1</v>
      </c>
      <c r="C128" t="s">
        <v>12</v>
      </c>
      <c r="D128">
        <v>825</v>
      </c>
      <c r="E128">
        <v>808</v>
      </c>
      <c r="F128">
        <f t="shared" si="15"/>
        <v>17</v>
      </c>
      <c r="G128">
        <v>27</v>
      </c>
      <c r="H128">
        <f t="shared" si="12"/>
        <v>20</v>
      </c>
      <c r="I128">
        <f t="shared" si="13"/>
        <v>47</v>
      </c>
      <c r="J128" t="str">
        <f t="shared" si="9"/>
        <v>YES</v>
      </c>
      <c r="K128" t="str">
        <f t="shared" si="14"/>
        <v>YES</v>
      </c>
      <c r="L128" t="str">
        <f t="shared" si="10"/>
        <v>YES</v>
      </c>
    </row>
    <row r="129" spans="1:12">
      <c r="A129" s="2">
        <f t="shared" si="8"/>
        <v>46112</v>
      </c>
      <c r="B129">
        <f t="shared" si="11"/>
        <v>2</v>
      </c>
      <c r="C129" t="s">
        <v>11</v>
      </c>
      <c r="D129">
        <v>505</v>
      </c>
      <c r="E129">
        <v>504</v>
      </c>
      <c r="F129">
        <f t="shared" si="15"/>
        <v>1</v>
      </c>
      <c r="G129">
        <v>6</v>
      </c>
      <c r="H129">
        <f t="shared" si="12"/>
        <v>12</v>
      </c>
      <c r="I129">
        <f t="shared" si="13"/>
        <v>18</v>
      </c>
      <c r="J129" t="str">
        <f t="shared" si="9"/>
        <v>NO</v>
      </c>
      <c r="K129" t="str">
        <f t="shared" si="14"/>
        <v>NO</v>
      </c>
      <c r="L129" t="str">
        <f t="shared" si="10"/>
        <v>NO</v>
      </c>
    </row>
    <row r="130" spans="1:12">
      <c r="A130" s="2">
        <f t="shared" si="8"/>
        <v>46113</v>
      </c>
      <c r="B130">
        <f t="shared" si="11"/>
        <v>1</v>
      </c>
      <c r="C130" t="s">
        <v>10</v>
      </c>
      <c r="D130">
        <v>523</v>
      </c>
      <c r="E130">
        <v>510</v>
      </c>
      <c r="F130">
        <f t="shared" si="15"/>
        <v>13</v>
      </c>
      <c r="G130">
        <v>28</v>
      </c>
      <c r="H130">
        <f t="shared" si="12"/>
        <v>15</v>
      </c>
      <c r="I130">
        <f t="shared" si="13"/>
        <v>43</v>
      </c>
      <c r="J130" t="str">
        <f t="shared" si="9"/>
        <v>YES</v>
      </c>
      <c r="K130" t="str">
        <f t="shared" si="14"/>
        <v>YES</v>
      </c>
      <c r="L130" t="str">
        <f t="shared" si="10"/>
        <v>YES</v>
      </c>
    </row>
    <row r="131" spans="1:12">
      <c r="A131" s="2">
        <f t="shared" ref="A131:A194" si="16">WORKDAY(DATE(2026,1,1)-1,INT((ROW(A130)-1)/2)+1)</f>
        <v>46113</v>
      </c>
      <c r="B131">
        <f t="shared" si="11"/>
        <v>2</v>
      </c>
      <c r="C131" t="s">
        <v>12</v>
      </c>
      <c r="D131">
        <v>723</v>
      </c>
      <c r="E131">
        <v>720</v>
      </c>
      <c r="F131">
        <f t="shared" si="15"/>
        <v>3</v>
      </c>
      <c r="G131">
        <v>8</v>
      </c>
      <c r="H131">
        <f t="shared" si="12"/>
        <v>20</v>
      </c>
      <c r="I131">
        <f t="shared" si="13"/>
        <v>28</v>
      </c>
      <c r="J131" t="str">
        <f t="shared" ref="J131:J194" si="17">IF(I131&gt;20,"YES","NO")</f>
        <v>YES</v>
      </c>
      <c r="K131" t="str">
        <f t="shared" si="14"/>
        <v>NO</v>
      </c>
      <c r="L131" t="str">
        <f t="shared" ref="L131:L194" si="18">IF(I131&gt;39,"YES","NO")</f>
        <v>NO</v>
      </c>
    </row>
    <row r="132" spans="1:12">
      <c r="A132" s="2">
        <f t="shared" si="16"/>
        <v>46114</v>
      </c>
      <c r="B132">
        <f t="shared" ref="B132:B195" si="19">IF(ISEVEN(ROW()),1,2)</f>
        <v>1</v>
      </c>
      <c r="C132" t="s">
        <v>12</v>
      </c>
      <c r="D132">
        <v>650</v>
      </c>
      <c r="E132">
        <v>633</v>
      </c>
      <c r="F132">
        <f t="shared" si="15"/>
        <v>17</v>
      </c>
      <c r="G132">
        <v>17</v>
      </c>
      <c r="H132">
        <f t="shared" ref="H132:H195" si="20">IF(C132="8 kg",15,IF(C132="7 kg",12,20))</f>
        <v>20</v>
      </c>
      <c r="I132">
        <f t="shared" ref="I132:I195" si="21">G132+H132</f>
        <v>37</v>
      </c>
      <c r="J132" t="str">
        <f t="shared" si="17"/>
        <v>YES</v>
      </c>
      <c r="K132" t="str">
        <f t="shared" ref="K132:K195" si="22">IF(I132&gt;30,"YES","NO")</f>
        <v>YES</v>
      </c>
      <c r="L132" t="str">
        <f t="shared" si="18"/>
        <v>NO</v>
      </c>
    </row>
    <row r="133" spans="1:12">
      <c r="A133" s="2">
        <f t="shared" si="16"/>
        <v>46114</v>
      </c>
      <c r="B133">
        <f t="shared" si="19"/>
        <v>2</v>
      </c>
      <c r="C133" t="s">
        <v>11</v>
      </c>
      <c r="D133">
        <v>314</v>
      </c>
      <c r="E133">
        <v>304</v>
      </c>
      <c r="F133">
        <f t="shared" si="15"/>
        <v>10</v>
      </c>
      <c r="G133">
        <v>21</v>
      </c>
      <c r="H133">
        <f t="shared" si="20"/>
        <v>12</v>
      </c>
      <c r="I133">
        <f t="shared" si="21"/>
        <v>33</v>
      </c>
      <c r="J133" t="str">
        <f t="shared" si="17"/>
        <v>YES</v>
      </c>
      <c r="K133" t="str">
        <f t="shared" si="22"/>
        <v>YES</v>
      </c>
      <c r="L133" t="str">
        <f t="shared" si="18"/>
        <v>NO</v>
      </c>
    </row>
    <row r="134" spans="1:12">
      <c r="A134" s="2">
        <f t="shared" si="16"/>
        <v>46115</v>
      </c>
      <c r="B134">
        <f t="shared" si="19"/>
        <v>1</v>
      </c>
      <c r="C134" t="s">
        <v>11</v>
      </c>
      <c r="D134">
        <v>334</v>
      </c>
      <c r="E134">
        <v>320</v>
      </c>
      <c r="F134">
        <f t="shared" si="15"/>
        <v>14</v>
      </c>
      <c r="G134">
        <v>26</v>
      </c>
      <c r="H134">
        <f t="shared" si="20"/>
        <v>12</v>
      </c>
      <c r="I134">
        <f t="shared" si="21"/>
        <v>38</v>
      </c>
      <c r="J134" t="str">
        <f t="shared" si="17"/>
        <v>YES</v>
      </c>
      <c r="K134" t="str">
        <f t="shared" si="22"/>
        <v>YES</v>
      </c>
      <c r="L134" t="str">
        <f t="shared" si="18"/>
        <v>NO</v>
      </c>
    </row>
    <row r="135" spans="1:12">
      <c r="A135" s="2">
        <f t="shared" si="16"/>
        <v>46115</v>
      </c>
      <c r="B135">
        <f t="shared" si="19"/>
        <v>2</v>
      </c>
      <c r="C135" t="s">
        <v>12</v>
      </c>
      <c r="D135">
        <v>494</v>
      </c>
      <c r="E135">
        <v>489</v>
      </c>
      <c r="F135">
        <f t="shared" si="15"/>
        <v>5</v>
      </c>
      <c r="G135">
        <v>6</v>
      </c>
      <c r="H135">
        <f t="shared" si="20"/>
        <v>20</v>
      </c>
      <c r="I135">
        <f t="shared" si="21"/>
        <v>26</v>
      </c>
      <c r="J135" t="str">
        <f t="shared" si="17"/>
        <v>YES</v>
      </c>
      <c r="K135" t="str">
        <f t="shared" si="22"/>
        <v>NO</v>
      </c>
      <c r="L135" t="str">
        <f t="shared" si="18"/>
        <v>NO</v>
      </c>
    </row>
    <row r="136" spans="1:12">
      <c r="A136" s="2">
        <f t="shared" si="16"/>
        <v>46118</v>
      </c>
      <c r="B136">
        <f t="shared" si="19"/>
        <v>1</v>
      </c>
      <c r="C136" t="s">
        <v>12</v>
      </c>
      <c r="D136">
        <v>538</v>
      </c>
      <c r="E136">
        <v>529</v>
      </c>
      <c r="F136">
        <f t="shared" si="15"/>
        <v>9</v>
      </c>
      <c r="G136">
        <v>4</v>
      </c>
      <c r="H136">
        <f t="shared" si="20"/>
        <v>20</v>
      </c>
      <c r="I136">
        <f t="shared" si="21"/>
        <v>24</v>
      </c>
      <c r="J136" t="str">
        <f t="shared" si="17"/>
        <v>YES</v>
      </c>
      <c r="K136" t="str">
        <f t="shared" si="22"/>
        <v>NO</v>
      </c>
      <c r="L136" t="str">
        <f t="shared" si="18"/>
        <v>NO</v>
      </c>
    </row>
    <row r="137" spans="1:12">
      <c r="A137" s="2">
        <f t="shared" si="16"/>
        <v>46118</v>
      </c>
      <c r="B137">
        <f t="shared" si="19"/>
        <v>2</v>
      </c>
      <c r="C137" t="s">
        <v>10</v>
      </c>
      <c r="D137">
        <v>447</v>
      </c>
      <c r="E137">
        <v>435</v>
      </c>
      <c r="F137">
        <f t="shared" si="15"/>
        <v>12</v>
      </c>
      <c r="G137">
        <v>24</v>
      </c>
      <c r="H137">
        <f t="shared" si="20"/>
        <v>15</v>
      </c>
      <c r="I137">
        <f t="shared" si="21"/>
        <v>39</v>
      </c>
      <c r="J137" t="str">
        <f t="shared" si="17"/>
        <v>YES</v>
      </c>
      <c r="K137" t="str">
        <f t="shared" si="22"/>
        <v>YES</v>
      </c>
      <c r="L137" t="str">
        <f t="shared" si="18"/>
        <v>NO</v>
      </c>
    </row>
    <row r="138" spans="1:12">
      <c r="A138" s="2">
        <f t="shared" si="16"/>
        <v>46119</v>
      </c>
      <c r="B138">
        <f t="shared" si="19"/>
        <v>1</v>
      </c>
      <c r="C138" t="s">
        <v>11</v>
      </c>
      <c r="D138">
        <v>869</v>
      </c>
      <c r="E138">
        <v>865</v>
      </c>
      <c r="F138">
        <f t="shared" si="15"/>
        <v>4</v>
      </c>
      <c r="G138">
        <v>7</v>
      </c>
      <c r="H138">
        <f t="shared" si="20"/>
        <v>12</v>
      </c>
      <c r="I138">
        <f t="shared" si="21"/>
        <v>19</v>
      </c>
      <c r="J138" t="str">
        <f t="shared" si="17"/>
        <v>NO</v>
      </c>
      <c r="K138" t="str">
        <f t="shared" si="22"/>
        <v>NO</v>
      </c>
      <c r="L138" t="str">
        <f t="shared" si="18"/>
        <v>NO</v>
      </c>
    </row>
    <row r="139" spans="1:12">
      <c r="A139" s="2">
        <f t="shared" si="16"/>
        <v>46119</v>
      </c>
      <c r="B139">
        <f t="shared" si="19"/>
        <v>2</v>
      </c>
      <c r="C139" t="s">
        <v>10</v>
      </c>
      <c r="D139">
        <v>589</v>
      </c>
      <c r="E139">
        <v>589</v>
      </c>
      <c r="F139">
        <f t="shared" si="15"/>
        <v>0</v>
      </c>
      <c r="G139">
        <v>4</v>
      </c>
      <c r="H139">
        <f t="shared" si="20"/>
        <v>15</v>
      </c>
      <c r="I139">
        <f t="shared" si="21"/>
        <v>19</v>
      </c>
      <c r="J139" t="str">
        <f t="shared" si="17"/>
        <v>NO</v>
      </c>
      <c r="K139" t="str">
        <f t="shared" si="22"/>
        <v>NO</v>
      </c>
      <c r="L139" t="str">
        <f t="shared" si="18"/>
        <v>NO</v>
      </c>
    </row>
    <row r="140" spans="1:12">
      <c r="A140" s="2">
        <f t="shared" si="16"/>
        <v>46120</v>
      </c>
      <c r="B140">
        <f t="shared" si="19"/>
        <v>1</v>
      </c>
      <c r="C140" t="s">
        <v>12</v>
      </c>
      <c r="D140">
        <v>791</v>
      </c>
      <c r="E140">
        <v>782</v>
      </c>
      <c r="F140">
        <f t="shared" si="15"/>
        <v>9</v>
      </c>
      <c r="G140">
        <v>8</v>
      </c>
      <c r="H140">
        <f t="shared" si="20"/>
        <v>20</v>
      </c>
      <c r="I140">
        <f t="shared" si="21"/>
        <v>28</v>
      </c>
      <c r="J140" t="str">
        <f t="shared" si="17"/>
        <v>YES</v>
      </c>
      <c r="K140" t="str">
        <f t="shared" si="22"/>
        <v>NO</v>
      </c>
      <c r="L140" t="str">
        <f t="shared" si="18"/>
        <v>NO</v>
      </c>
    </row>
    <row r="141" spans="1:12">
      <c r="A141" s="2">
        <f t="shared" si="16"/>
        <v>46120</v>
      </c>
      <c r="B141">
        <f t="shared" si="19"/>
        <v>2</v>
      </c>
      <c r="C141" t="s">
        <v>11</v>
      </c>
      <c r="D141">
        <v>252</v>
      </c>
      <c r="E141">
        <v>250</v>
      </c>
      <c r="F141">
        <f t="shared" si="15"/>
        <v>2</v>
      </c>
      <c r="G141">
        <v>6</v>
      </c>
      <c r="H141">
        <f t="shared" si="20"/>
        <v>12</v>
      </c>
      <c r="I141">
        <f t="shared" si="21"/>
        <v>18</v>
      </c>
      <c r="J141" t="str">
        <f t="shared" si="17"/>
        <v>NO</v>
      </c>
      <c r="K141" t="str">
        <f t="shared" si="22"/>
        <v>NO</v>
      </c>
      <c r="L141" t="str">
        <f t="shared" si="18"/>
        <v>NO</v>
      </c>
    </row>
    <row r="142" spans="1:12">
      <c r="A142" s="2">
        <f t="shared" si="16"/>
        <v>46121</v>
      </c>
      <c r="B142">
        <f t="shared" si="19"/>
        <v>1</v>
      </c>
      <c r="C142" t="s">
        <v>11</v>
      </c>
      <c r="D142">
        <v>777</v>
      </c>
      <c r="E142">
        <v>758</v>
      </c>
      <c r="F142">
        <f t="shared" si="15"/>
        <v>19</v>
      </c>
      <c r="G142">
        <v>23</v>
      </c>
      <c r="H142">
        <f t="shared" si="20"/>
        <v>12</v>
      </c>
      <c r="I142">
        <f t="shared" si="21"/>
        <v>35</v>
      </c>
      <c r="J142" t="str">
        <f t="shared" si="17"/>
        <v>YES</v>
      </c>
      <c r="K142" t="str">
        <f t="shared" si="22"/>
        <v>YES</v>
      </c>
      <c r="L142" t="str">
        <f t="shared" si="18"/>
        <v>NO</v>
      </c>
    </row>
    <row r="143" spans="1:12">
      <c r="A143" s="2">
        <f t="shared" si="16"/>
        <v>46121</v>
      </c>
      <c r="B143">
        <f t="shared" si="19"/>
        <v>2</v>
      </c>
      <c r="C143" t="s">
        <v>10</v>
      </c>
      <c r="D143">
        <v>601</v>
      </c>
      <c r="E143">
        <v>592</v>
      </c>
      <c r="F143">
        <f t="shared" si="15"/>
        <v>9</v>
      </c>
      <c r="G143">
        <v>4</v>
      </c>
      <c r="H143">
        <f t="shared" si="20"/>
        <v>15</v>
      </c>
      <c r="I143">
        <f t="shared" si="21"/>
        <v>19</v>
      </c>
      <c r="J143" t="str">
        <f t="shared" si="17"/>
        <v>NO</v>
      </c>
      <c r="K143" t="str">
        <f t="shared" si="22"/>
        <v>NO</v>
      </c>
      <c r="L143" t="str">
        <f t="shared" si="18"/>
        <v>NO</v>
      </c>
    </row>
    <row r="144" spans="1:12">
      <c r="A144" s="2">
        <f t="shared" si="16"/>
        <v>46122</v>
      </c>
      <c r="B144">
        <f t="shared" si="19"/>
        <v>1</v>
      </c>
      <c r="C144" t="s">
        <v>11</v>
      </c>
      <c r="D144">
        <v>767</v>
      </c>
      <c r="E144">
        <v>754</v>
      </c>
      <c r="F144">
        <f t="shared" ref="F144:F207" si="23">D144-E144</f>
        <v>13</v>
      </c>
      <c r="G144">
        <v>23</v>
      </c>
      <c r="H144">
        <f t="shared" si="20"/>
        <v>12</v>
      </c>
      <c r="I144">
        <f t="shared" si="21"/>
        <v>35</v>
      </c>
      <c r="J144" t="str">
        <f t="shared" si="17"/>
        <v>YES</v>
      </c>
      <c r="K144" t="str">
        <f t="shared" si="22"/>
        <v>YES</v>
      </c>
      <c r="L144" t="str">
        <f t="shared" si="18"/>
        <v>NO</v>
      </c>
    </row>
    <row r="145" spans="1:12">
      <c r="A145" s="2">
        <f t="shared" si="16"/>
        <v>46122</v>
      </c>
      <c r="B145">
        <f t="shared" si="19"/>
        <v>2</v>
      </c>
      <c r="C145" t="s">
        <v>11</v>
      </c>
      <c r="D145">
        <v>527</v>
      </c>
      <c r="E145">
        <v>517</v>
      </c>
      <c r="F145">
        <f t="shared" si="23"/>
        <v>10</v>
      </c>
      <c r="G145">
        <v>16</v>
      </c>
      <c r="H145">
        <f t="shared" si="20"/>
        <v>12</v>
      </c>
      <c r="I145">
        <f t="shared" si="21"/>
        <v>28</v>
      </c>
      <c r="J145" t="str">
        <f t="shared" si="17"/>
        <v>YES</v>
      </c>
      <c r="K145" t="str">
        <f t="shared" si="22"/>
        <v>NO</v>
      </c>
      <c r="L145" t="str">
        <f t="shared" si="18"/>
        <v>NO</v>
      </c>
    </row>
    <row r="146" spans="1:12">
      <c r="A146" s="2">
        <f t="shared" si="16"/>
        <v>46125</v>
      </c>
      <c r="B146">
        <f t="shared" si="19"/>
        <v>1</v>
      </c>
      <c r="C146" t="s">
        <v>11</v>
      </c>
      <c r="D146">
        <v>944</v>
      </c>
      <c r="E146">
        <v>943</v>
      </c>
      <c r="F146">
        <f t="shared" si="23"/>
        <v>1</v>
      </c>
      <c r="G146">
        <v>8</v>
      </c>
      <c r="H146">
        <f t="shared" si="20"/>
        <v>12</v>
      </c>
      <c r="I146">
        <f t="shared" si="21"/>
        <v>20</v>
      </c>
      <c r="J146" t="str">
        <f t="shared" si="17"/>
        <v>NO</v>
      </c>
      <c r="K146" t="str">
        <f t="shared" si="22"/>
        <v>NO</v>
      </c>
      <c r="L146" t="str">
        <f t="shared" si="18"/>
        <v>NO</v>
      </c>
    </row>
    <row r="147" spans="1:12">
      <c r="A147" s="2">
        <f t="shared" si="16"/>
        <v>46125</v>
      </c>
      <c r="B147">
        <f t="shared" si="19"/>
        <v>2</v>
      </c>
      <c r="C147" t="s">
        <v>10</v>
      </c>
      <c r="D147">
        <v>304</v>
      </c>
      <c r="E147">
        <v>303</v>
      </c>
      <c r="F147">
        <f t="shared" si="23"/>
        <v>1</v>
      </c>
      <c r="G147">
        <v>4</v>
      </c>
      <c r="H147">
        <f t="shared" si="20"/>
        <v>15</v>
      </c>
      <c r="I147">
        <f t="shared" si="21"/>
        <v>19</v>
      </c>
      <c r="J147" t="str">
        <f t="shared" si="17"/>
        <v>NO</v>
      </c>
      <c r="K147" t="str">
        <f t="shared" si="22"/>
        <v>NO</v>
      </c>
      <c r="L147" t="str">
        <f t="shared" si="18"/>
        <v>NO</v>
      </c>
    </row>
    <row r="148" spans="1:12">
      <c r="A148" s="2">
        <f t="shared" si="16"/>
        <v>46126</v>
      </c>
      <c r="B148">
        <f t="shared" si="19"/>
        <v>1</v>
      </c>
      <c r="C148" t="s">
        <v>12</v>
      </c>
      <c r="D148">
        <v>706</v>
      </c>
      <c r="E148">
        <v>692</v>
      </c>
      <c r="F148">
        <f t="shared" si="23"/>
        <v>14</v>
      </c>
      <c r="G148">
        <v>30</v>
      </c>
      <c r="H148">
        <f t="shared" si="20"/>
        <v>20</v>
      </c>
      <c r="I148">
        <f t="shared" si="21"/>
        <v>50</v>
      </c>
      <c r="J148" t="str">
        <f t="shared" si="17"/>
        <v>YES</v>
      </c>
      <c r="K148" t="str">
        <f t="shared" si="22"/>
        <v>YES</v>
      </c>
      <c r="L148" t="str">
        <f t="shared" si="18"/>
        <v>YES</v>
      </c>
    </row>
    <row r="149" spans="1:12">
      <c r="A149" s="2">
        <f t="shared" si="16"/>
        <v>46126</v>
      </c>
      <c r="B149">
        <f t="shared" si="19"/>
        <v>2</v>
      </c>
      <c r="C149" t="s">
        <v>11</v>
      </c>
      <c r="D149">
        <v>617</v>
      </c>
      <c r="E149">
        <v>609</v>
      </c>
      <c r="F149">
        <f t="shared" si="23"/>
        <v>8</v>
      </c>
      <c r="G149">
        <v>5</v>
      </c>
      <c r="H149">
        <f t="shared" si="20"/>
        <v>12</v>
      </c>
      <c r="I149">
        <f t="shared" si="21"/>
        <v>17</v>
      </c>
      <c r="J149" t="str">
        <f t="shared" si="17"/>
        <v>NO</v>
      </c>
      <c r="K149" t="str">
        <f t="shared" si="22"/>
        <v>NO</v>
      </c>
      <c r="L149" t="str">
        <f t="shared" si="18"/>
        <v>NO</v>
      </c>
    </row>
    <row r="150" spans="1:12">
      <c r="A150" s="2">
        <f t="shared" si="16"/>
        <v>46127</v>
      </c>
      <c r="B150">
        <f t="shared" si="19"/>
        <v>1</v>
      </c>
      <c r="C150" t="s">
        <v>11</v>
      </c>
      <c r="D150">
        <v>492</v>
      </c>
      <c r="E150">
        <v>473</v>
      </c>
      <c r="F150">
        <f t="shared" si="23"/>
        <v>19</v>
      </c>
      <c r="G150">
        <v>15</v>
      </c>
      <c r="H150">
        <f t="shared" si="20"/>
        <v>12</v>
      </c>
      <c r="I150">
        <f t="shared" si="21"/>
        <v>27</v>
      </c>
      <c r="J150" t="str">
        <f t="shared" si="17"/>
        <v>YES</v>
      </c>
      <c r="K150" t="str">
        <f t="shared" si="22"/>
        <v>NO</v>
      </c>
      <c r="L150" t="str">
        <f t="shared" si="18"/>
        <v>NO</v>
      </c>
    </row>
    <row r="151" spans="1:12">
      <c r="A151" s="2">
        <f t="shared" si="16"/>
        <v>46127</v>
      </c>
      <c r="B151">
        <f t="shared" si="19"/>
        <v>2</v>
      </c>
      <c r="C151" t="s">
        <v>11</v>
      </c>
      <c r="D151">
        <v>758</v>
      </c>
      <c r="E151">
        <v>754</v>
      </c>
      <c r="F151">
        <f t="shared" si="23"/>
        <v>4</v>
      </c>
      <c r="G151">
        <v>4</v>
      </c>
      <c r="H151">
        <f t="shared" si="20"/>
        <v>12</v>
      </c>
      <c r="I151">
        <f t="shared" si="21"/>
        <v>16</v>
      </c>
      <c r="J151" t="str">
        <f t="shared" si="17"/>
        <v>NO</v>
      </c>
      <c r="K151" t="str">
        <f t="shared" si="22"/>
        <v>NO</v>
      </c>
      <c r="L151" t="str">
        <f t="shared" si="18"/>
        <v>NO</v>
      </c>
    </row>
    <row r="152" spans="1:12">
      <c r="A152" s="2">
        <f t="shared" si="16"/>
        <v>46128</v>
      </c>
      <c r="B152">
        <f t="shared" si="19"/>
        <v>1</v>
      </c>
      <c r="C152" t="s">
        <v>11</v>
      </c>
      <c r="D152">
        <v>734</v>
      </c>
      <c r="E152">
        <v>732</v>
      </c>
      <c r="F152">
        <f t="shared" si="23"/>
        <v>2</v>
      </c>
      <c r="G152">
        <v>4</v>
      </c>
      <c r="H152">
        <f t="shared" si="20"/>
        <v>12</v>
      </c>
      <c r="I152">
        <f t="shared" si="21"/>
        <v>16</v>
      </c>
      <c r="J152" t="str">
        <f t="shared" si="17"/>
        <v>NO</v>
      </c>
      <c r="K152" t="str">
        <f t="shared" si="22"/>
        <v>NO</v>
      </c>
      <c r="L152" t="str">
        <f t="shared" si="18"/>
        <v>NO</v>
      </c>
    </row>
    <row r="153" spans="1:12">
      <c r="A153" s="2">
        <f t="shared" si="16"/>
        <v>46128</v>
      </c>
      <c r="B153">
        <f t="shared" si="19"/>
        <v>2</v>
      </c>
      <c r="C153" t="s">
        <v>11</v>
      </c>
      <c r="D153">
        <v>779</v>
      </c>
      <c r="E153">
        <v>775</v>
      </c>
      <c r="F153">
        <f t="shared" si="23"/>
        <v>4</v>
      </c>
      <c r="G153">
        <v>6</v>
      </c>
      <c r="H153">
        <f t="shared" si="20"/>
        <v>12</v>
      </c>
      <c r="I153">
        <f t="shared" si="21"/>
        <v>18</v>
      </c>
      <c r="J153" t="str">
        <f t="shared" si="17"/>
        <v>NO</v>
      </c>
      <c r="K153" t="str">
        <f t="shared" si="22"/>
        <v>NO</v>
      </c>
      <c r="L153" t="str">
        <f t="shared" si="18"/>
        <v>NO</v>
      </c>
    </row>
    <row r="154" spans="1:12">
      <c r="A154" s="2">
        <f t="shared" si="16"/>
        <v>46129</v>
      </c>
      <c r="B154">
        <f t="shared" si="19"/>
        <v>1</v>
      </c>
      <c r="C154" t="s">
        <v>10</v>
      </c>
      <c r="D154">
        <v>543</v>
      </c>
      <c r="E154">
        <v>543</v>
      </c>
      <c r="F154">
        <f t="shared" si="23"/>
        <v>0</v>
      </c>
      <c r="G154">
        <v>8</v>
      </c>
      <c r="H154">
        <f t="shared" si="20"/>
        <v>15</v>
      </c>
      <c r="I154">
        <f t="shared" si="21"/>
        <v>23</v>
      </c>
      <c r="J154" t="str">
        <f t="shared" si="17"/>
        <v>YES</v>
      </c>
      <c r="K154" t="str">
        <f t="shared" si="22"/>
        <v>NO</v>
      </c>
      <c r="L154" t="str">
        <f t="shared" si="18"/>
        <v>NO</v>
      </c>
    </row>
    <row r="155" spans="1:12">
      <c r="A155" s="2">
        <f t="shared" si="16"/>
        <v>46129</v>
      </c>
      <c r="B155">
        <f t="shared" si="19"/>
        <v>2</v>
      </c>
      <c r="C155" t="s">
        <v>11</v>
      </c>
      <c r="D155">
        <v>327</v>
      </c>
      <c r="E155">
        <v>325</v>
      </c>
      <c r="F155">
        <f t="shared" si="23"/>
        <v>2</v>
      </c>
      <c r="G155">
        <v>7</v>
      </c>
      <c r="H155">
        <f t="shared" si="20"/>
        <v>12</v>
      </c>
      <c r="I155">
        <f t="shared" si="21"/>
        <v>19</v>
      </c>
      <c r="J155" t="str">
        <f t="shared" si="17"/>
        <v>NO</v>
      </c>
      <c r="K155" t="str">
        <f t="shared" si="22"/>
        <v>NO</v>
      </c>
      <c r="L155" t="str">
        <f t="shared" si="18"/>
        <v>NO</v>
      </c>
    </row>
    <row r="156" spans="1:12">
      <c r="A156" s="2">
        <f t="shared" si="16"/>
        <v>46132</v>
      </c>
      <c r="B156">
        <f t="shared" si="19"/>
        <v>1</v>
      </c>
      <c r="C156" t="s">
        <v>12</v>
      </c>
      <c r="D156">
        <v>606</v>
      </c>
      <c r="E156">
        <v>606</v>
      </c>
      <c r="F156">
        <f t="shared" si="23"/>
        <v>0</v>
      </c>
      <c r="G156">
        <v>7</v>
      </c>
      <c r="H156">
        <f t="shared" si="20"/>
        <v>20</v>
      </c>
      <c r="I156">
        <f t="shared" si="21"/>
        <v>27</v>
      </c>
      <c r="J156" t="str">
        <f t="shared" si="17"/>
        <v>YES</v>
      </c>
      <c r="K156" t="str">
        <f t="shared" si="22"/>
        <v>NO</v>
      </c>
      <c r="L156" t="str">
        <f t="shared" si="18"/>
        <v>NO</v>
      </c>
    </row>
    <row r="157" spans="1:12">
      <c r="A157" s="2">
        <f t="shared" si="16"/>
        <v>46132</v>
      </c>
      <c r="B157">
        <f t="shared" si="19"/>
        <v>2</v>
      </c>
      <c r="C157" t="s">
        <v>12</v>
      </c>
      <c r="D157">
        <v>861</v>
      </c>
      <c r="E157">
        <v>854</v>
      </c>
      <c r="F157">
        <f t="shared" si="23"/>
        <v>7</v>
      </c>
      <c r="G157">
        <v>7</v>
      </c>
      <c r="H157">
        <f t="shared" si="20"/>
        <v>20</v>
      </c>
      <c r="I157">
        <f t="shared" si="21"/>
        <v>27</v>
      </c>
      <c r="J157" t="str">
        <f t="shared" si="17"/>
        <v>YES</v>
      </c>
      <c r="K157" t="str">
        <f t="shared" si="22"/>
        <v>NO</v>
      </c>
      <c r="L157" t="str">
        <f t="shared" si="18"/>
        <v>NO</v>
      </c>
    </row>
    <row r="158" spans="1:12">
      <c r="A158" s="2">
        <f t="shared" si="16"/>
        <v>46133</v>
      </c>
      <c r="B158">
        <f t="shared" si="19"/>
        <v>1</v>
      </c>
      <c r="C158" t="s">
        <v>12</v>
      </c>
      <c r="D158">
        <v>629</v>
      </c>
      <c r="E158">
        <v>625</v>
      </c>
      <c r="F158">
        <f t="shared" si="23"/>
        <v>4</v>
      </c>
      <c r="G158">
        <v>7</v>
      </c>
      <c r="H158">
        <f t="shared" si="20"/>
        <v>20</v>
      </c>
      <c r="I158">
        <f t="shared" si="21"/>
        <v>27</v>
      </c>
      <c r="J158" t="str">
        <f t="shared" si="17"/>
        <v>YES</v>
      </c>
      <c r="K158" t="str">
        <f t="shared" si="22"/>
        <v>NO</v>
      </c>
      <c r="L158" t="str">
        <f t="shared" si="18"/>
        <v>NO</v>
      </c>
    </row>
    <row r="159" spans="1:12">
      <c r="A159" s="2">
        <f t="shared" si="16"/>
        <v>46133</v>
      </c>
      <c r="B159">
        <f t="shared" si="19"/>
        <v>2</v>
      </c>
      <c r="C159" t="s">
        <v>11</v>
      </c>
      <c r="D159">
        <v>371</v>
      </c>
      <c r="E159">
        <v>351</v>
      </c>
      <c r="F159">
        <f t="shared" si="23"/>
        <v>20</v>
      </c>
      <c r="G159">
        <v>18</v>
      </c>
      <c r="H159">
        <f t="shared" si="20"/>
        <v>12</v>
      </c>
      <c r="I159">
        <f t="shared" si="21"/>
        <v>30</v>
      </c>
      <c r="J159" t="str">
        <f t="shared" si="17"/>
        <v>YES</v>
      </c>
      <c r="K159" t="str">
        <f t="shared" si="22"/>
        <v>NO</v>
      </c>
      <c r="L159" t="str">
        <f t="shared" si="18"/>
        <v>NO</v>
      </c>
    </row>
    <row r="160" spans="1:12">
      <c r="A160" s="2">
        <f t="shared" si="16"/>
        <v>46134</v>
      </c>
      <c r="B160">
        <f t="shared" si="19"/>
        <v>1</v>
      </c>
      <c r="C160" t="s">
        <v>12</v>
      </c>
      <c r="D160">
        <v>639</v>
      </c>
      <c r="E160">
        <v>637</v>
      </c>
      <c r="F160">
        <f t="shared" si="23"/>
        <v>2</v>
      </c>
      <c r="G160">
        <v>7</v>
      </c>
      <c r="H160">
        <f t="shared" si="20"/>
        <v>20</v>
      </c>
      <c r="I160">
        <f t="shared" si="21"/>
        <v>27</v>
      </c>
      <c r="J160" t="str">
        <f t="shared" si="17"/>
        <v>YES</v>
      </c>
      <c r="K160" t="str">
        <f t="shared" si="22"/>
        <v>NO</v>
      </c>
      <c r="L160" t="str">
        <f t="shared" si="18"/>
        <v>NO</v>
      </c>
    </row>
    <row r="161" spans="1:12">
      <c r="A161" s="2">
        <f t="shared" si="16"/>
        <v>46134</v>
      </c>
      <c r="B161">
        <f t="shared" si="19"/>
        <v>2</v>
      </c>
      <c r="C161" t="s">
        <v>12</v>
      </c>
      <c r="D161">
        <v>689</v>
      </c>
      <c r="E161">
        <v>672</v>
      </c>
      <c r="F161">
        <f t="shared" si="23"/>
        <v>17</v>
      </c>
      <c r="G161">
        <v>26</v>
      </c>
      <c r="H161">
        <f t="shared" si="20"/>
        <v>20</v>
      </c>
      <c r="I161">
        <f t="shared" si="21"/>
        <v>46</v>
      </c>
      <c r="J161" t="str">
        <f t="shared" si="17"/>
        <v>YES</v>
      </c>
      <c r="K161" t="str">
        <f t="shared" si="22"/>
        <v>YES</v>
      </c>
      <c r="L161" t="str">
        <f t="shared" si="18"/>
        <v>YES</v>
      </c>
    </row>
    <row r="162" spans="1:12">
      <c r="A162" s="2">
        <f t="shared" si="16"/>
        <v>46135</v>
      </c>
      <c r="B162">
        <f t="shared" si="19"/>
        <v>1</v>
      </c>
      <c r="C162" t="s">
        <v>12</v>
      </c>
      <c r="D162">
        <v>683</v>
      </c>
      <c r="E162">
        <v>666</v>
      </c>
      <c r="F162">
        <f t="shared" si="23"/>
        <v>17</v>
      </c>
      <c r="G162">
        <v>19</v>
      </c>
      <c r="H162">
        <f t="shared" si="20"/>
        <v>20</v>
      </c>
      <c r="I162">
        <f t="shared" si="21"/>
        <v>39</v>
      </c>
      <c r="J162" t="str">
        <f t="shared" si="17"/>
        <v>YES</v>
      </c>
      <c r="K162" t="str">
        <f t="shared" si="22"/>
        <v>YES</v>
      </c>
      <c r="L162" t="str">
        <f t="shared" si="18"/>
        <v>NO</v>
      </c>
    </row>
    <row r="163" spans="1:12">
      <c r="A163" s="2">
        <f t="shared" si="16"/>
        <v>46135</v>
      </c>
      <c r="B163">
        <f t="shared" si="19"/>
        <v>2</v>
      </c>
      <c r="C163" t="s">
        <v>11</v>
      </c>
      <c r="D163">
        <v>342</v>
      </c>
      <c r="E163">
        <v>332</v>
      </c>
      <c r="F163">
        <f t="shared" si="23"/>
        <v>10</v>
      </c>
      <c r="G163">
        <v>27</v>
      </c>
      <c r="H163">
        <f t="shared" si="20"/>
        <v>12</v>
      </c>
      <c r="I163">
        <f t="shared" si="21"/>
        <v>39</v>
      </c>
      <c r="J163" t="str">
        <f t="shared" si="17"/>
        <v>YES</v>
      </c>
      <c r="K163" t="str">
        <f t="shared" si="22"/>
        <v>YES</v>
      </c>
      <c r="L163" t="str">
        <f t="shared" si="18"/>
        <v>NO</v>
      </c>
    </row>
    <row r="164" spans="1:12">
      <c r="A164" s="2">
        <f t="shared" si="16"/>
        <v>46136</v>
      </c>
      <c r="B164">
        <f t="shared" si="19"/>
        <v>1</v>
      </c>
      <c r="C164" t="s">
        <v>11</v>
      </c>
      <c r="D164">
        <v>981</v>
      </c>
      <c r="E164">
        <v>977</v>
      </c>
      <c r="F164">
        <f t="shared" si="23"/>
        <v>4</v>
      </c>
      <c r="G164">
        <v>4</v>
      </c>
      <c r="H164">
        <f t="shared" si="20"/>
        <v>12</v>
      </c>
      <c r="I164">
        <f t="shared" si="21"/>
        <v>16</v>
      </c>
      <c r="J164" t="str">
        <f t="shared" si="17"/>
        <v>NO</v>
      </c>
      <c r="K164" t="str">
        <f t="shared" si="22"/>
        <v>NO</v>
      </c>
      <c r="L164" t="str">
        <f t="shared" si="18"/>
        <v>NO</v>
      </c>
    </row>
    <row r="165" spans="1:12">
      <c r="A165" s="2">
        <f t="shared" si="16"/>
        <v>46136</v>
      </c>
      <c r="B165">
        <f t="shared" si="19"/>
        <v>2</v>
      </c>
      <c r="C165" t="s">
        <v>11</v>
      </c>
      <c r="D165">
        <v>676</v>
      </c>
      <c r="E165">
        <v>662</v>
      </c>
      <c r="F165">
        <f t="shared" si="23"/>
        <v>14</v>
      </c>
      <c r="G165">
        <v>20</v>
      </c>
      <c r="H165">
        <f t="shared" si="20"/>
        <v>12</v>
      </c>
      <c r="I165">
        <f t="shared" si="21"/>
        <v>32</v>
      </c>
      <c r="J165" t="str">
        <f t="shared" si="17"/>
        <v>YES</v>
      </c>
      <c r="K165" t="str">
        <f t="shared" si="22"/>
        <v>YES</v>
      </c>
      <c r="L165" t="str">
        <f t="shared" si="18"/>
        <v>NO</v>
      </c>
    </row>
    <row r="166" spans="1:12">
      <c r="A166" s="2">
        <f t="shared" si="16"/>
        <v>46139</v>
      </c>
      <c r="B166">
        <f t="shared" si="19"/>
        <v>1</v>
      </c>
      <c r="C166" t="s">
        <v>12</v>
      </c>
      <c r="D166">
        <v>270</v>
      </c>
      <c r="E166">
        <v>250</v>
      </c>
      <c r="F166">
        <f t="shared" si="23"/>
        <v>20</v>
      </c>
      <c r="G166">
        <v>23</v>
      </c>
      <c r="H166">
        <f t="shared" si="20"/>
        <v>20</v>
      </c>
      <c r="I166">
        <f t="shared" si="21"/>
        <v>43</v>
      </c>
      <c r="J166" t="str">
        <f t="shared" si="17"/>
        <v>YES</v>
      </c>
      <c r="K166" t="str">
        <f t="shared" si="22"/>
        <v>YES</v>
      </c>
      <c r="L166" t="str">
        <f t="shared" si="18"/>
        <v>YES</v>
      </c>
    </row>
    <row r="167" spans="1:12">
      <c r="A167" s="2">
        <f t="shared" si="16"/>
        <v>46139</v>
      </c>
      <c r="B167">
        <f t="shared" si="19"/>
        <v>2</v>
      </c>
      <c r="C167" t="s">
        <v>11</v>
      </c>
      <c r="D167">
        <v>221</v>
      </c>
      <c r="E167">
        <v>201</v>
      </c>
      <c r="F167">
        <f t="shared" si="23"/>
        <v>20</v>
      </c>
      <c r="G167">
        <v>25</v>
      </c>
      <c r="H167">
        <f t="shared" si="20"/>
        <v>12</v>
      </c>
      <c r="I167">
        <f t="shared" si="21"/>
        <v>37</v>
      </c>
      <c r="J167" t="str">
        <f t="shared" si="17"/>
        <v>YES</v>
      </c>
      <c r="K167" t="str">
        <f t="shared" si="22"/>
        <v>YES</v>
      </c>
      <c r="L167" t="str">
        <f t="shared" si="18"/>
        <v>NO</v>
      </c>
    </row>
    <row r="168" spans="1:12">
      <c r="A168" s="2">
        <f t="shared" si="16"/>
        <v>46140</v>
      </c>
      <c r="B168">
        <f t="shared" si="19"/>
        <v>1</v>
      </c>
      <c r="C168" t="s">
        <v>10</v>
      </c>
      <c r="D168">
        <v>464</v>
      </c>
      <c r="E168">
        <v>444</v>
      </c>
      <c r="F168">
        <f t="shared" si="23"/>
        <v>20</v>
      </c>
      <c r="G168">
        <v>23</v>
      </c>
      <c r="H168">
        <f t="shared" si="20"/>
        <v>15</v>
      </c>
      <c r="I168">
        <f t="shared" si="21"/>
        <v>38</v>
      </c>
      <c r="J168" t="str">
        <f t="shared" si="17"/>
        <v>YES</v>
      </c>
      <c r="K168" t="str">
        <f t="shared" si="22"/>
        <v>YES</v>
      </c>
      <c r="L168" t="str">
        <f t="shared" si="18"/>
        <v>NO</v>
      </c>
    </row>
    <row r="169" spans="1:12">
      <c r="A169" s="2">
        <f t="shared" si="16"/>
        <v>46140</v>
      </c>
      <c r="B169">
        <f t="shared" si="19"/>
        <v>2</v>
      </c>
      <c r="C169" t="s">
        <v>11</v>
      </c>
      <c r="D169">
        <v>909</v>
      </c>
      <c r="E169">
        <v>909</v>
      </c>
      <c r="F169">
        <f t="shared" si="23"/>
        <v>0</v>
      </c>
      <c r="G169">
        <v>7</v>
      </c>
      <c r="H169">
        <f t="shared" si="20"/>
        <v>12</v>
      </c>
      <c r="I169">
        <f t="shared" si="21"/>
        <v>19</v>
      </c>
      <c r="J169" t="str">
        <f t="shared" si="17"/>
        <v>NO</v>
      </c>
      <c r="K169" t="str">
        <f t="shared" si="22"/>
        <v>NO</v>
      </c>
      <c r="L169" t="str">
        <f t="shared" si="18"/>
        <v>NO</v>
      </c>
    </row>
    <row r="170" spans="1:12">
      <c r="A170" s="2">
        <f t="shared" si="16"/>
        <v>46141</v>
      </c>
      <c r="B170">
        <f t="shared" si="19"/>
        <v>1</v>
      </c>
      <c r="C170" t="s">
        <v>12</v>
      </c>
      <c r="D170">
        <v>220</v>
      </c>
      <c r="E170">
        <v>217</v>
      </c>
      <c r="F170">
        <f t="shared" si="23"/>
        <v>3</v>
      </c>
      <c r="G170">
        <v>8</v>
      </c>
      <c r="H170">
        <f t="shared" si="20"/>
        <v>20</v>
      </c>
      <c r="I170">
        <f t="shared" si="21"/>
        <v>28</v>
      </c>
      <c r="J170" t="str">
        <f t="shared" si="17"/>
        <v>YES</v>
      </c>
      <c r="K170" t="str">
        <f t="shared" si="22"/>
        <v>NO</v>
      </c>
      <c r="L170" t="str">
        <f t="shared" si="18"/>
        <v>NO</v>
      </c>
    </row>
    <row r="171" spans="1:12">
      <c r="A171" s="2">
        <f t="shared" si="16"/>
        <v>46141</v>
      </c>
      <c r="B171">
        <f t="shared" si="19"/>
        <v>2</v>
      </c>
      <c r="C171" t="s">
        <v>12</v>
      </c>
      <c r="D171">
        <v>391</v>
      </c>
      <c r="E171">
        <v>382</v>
      </c>
      <c r="F171">
        <f t="shared" si="23"/>
        <v>9</v>
      </c>
      <c r="G171">
        <v>8</v>
      </c>
      <c r="H171">
        <f t="shared" si="20"/>
        <v>20</v>
      </c>
      <c r="I171">
        <f t="shared" si="21"/>
        <v>28</v>
      </c>
      <c r="J171" t="str">
        <f t="shared" si="17"/>
        <v>YES</v>
      </c>
      <c r="K171" t="str">
        <f t="shared" si="22"/>
        <v>NO</v>
      </c>
      <c r="L171" t="str">
        <f t="shared" si="18"/>
        <v>NO</v>
      </c>
    </row>
    <row r="172" spans="1:12">
      <c r="A172" s="2">
        <f t="shared" si="16"/>
        <v>46142</v>
      </c>
      <c r="B172">
        <f t="shared" si="19"/>
        <v>1</v>
      </c>
      <c r="C172" t="s">
        <v>11</v>
      </c>
      <c r="D172">
        <v>608</v>
      </c>
      <c r="E172">
        <v>598</v>
      </c>
      <c r="F172">
        <f t="shared" si="23"/>
        <v>10</v>
      </c>
      <c r="G172">
        <v>20</v>
      </c>
      <c r="H172">
        <f t="shared" si="20"/>
        <v>12</v>
      </c>
      <c r="I172">
        <f t="shared" si="21"/>
        <v>32</v>
      </c>
      <c r="J172" t="str">
        <f t="shared" si="17"/>
        <v>YES</v>
      </c>
      <c r="K172" t="str">
        <f t="shared" si="22"/>
        <v>YES</v>
      </c>
      <c r="L172" t="str">
        <f t="shared" si="18"/>
        <v>NO</v>
      </c>
    </row>
    <row r="173" spans="1:12">
      <c r="A173" s="2">
        <f t="shared" si="16"/>
        <v>46142</v>
      </c>
      <c r="B173">
        <f t="shared" si="19"/>
        <v>2</v>
      </c>
      <c r="C173" t="s">
        <v>10</v>
      </c>
      <c r="D173">
        <v>727</v>
      </c>
      <c r="E173">
        <v>722</v>
      </c>
      <c r="F173">
        <f t="shared" si="23"/>
        <v>5</v>
      </c>
      <c r="G173">
        <v>7</v>
      </c>
      <c r="H173">
        <f t="shared" si="20"/>
        <v>15</v>
      </c>
      <c r="I173">
        <f t="shared" si="21"/>
        <v>22</v>
      </c>
      <c r="J173" t="str">
        <f t="shared" si="17"/>
        <v>YES</v>
      </c>
      <c r="K173" t="str">
        <f t="shared" si="22"/>
        <v>NO</v>
      </c>
      <c r="L173" t="str">
        <f t="shared" si="18"/>
        <v>NO</v>
      </c>
    </row>
    <row r="174" spans="1:12">
      <c r="A174" s="2">
        <f t="shared" si="16"/>
        <v>46143</v>
      </c>
      <c r="B174">
        <f t="shared" si="19"/>
        <v>1</v>
      </c>
      <c r="C174" t="s">
        <v>12</v>
      </c>
      <c r="D174">
        <v>398</v>
      </c>
      <c r="E174">
        <v>394</v>
      </c>
      <c r="F174">
        <f t="shared" si="23"/>
        <v>4</v>
      </c>
      <c r="G174">
        <v>7</v>
      </c>
      <c r="H174">
        <f t="shared" si="20"/>
        <v>20</v>
      </c>
      <c r="I174">
        <f t="shared" si="21"/>
        <v>27</v>
      </c>
      <c r="J174" t="str">
        <f t="shared" si="17"/>
        <v>YES</v>
      </c>
      <c r="K174" t="str">
        <f t="shared" si="22"/>
        <v>NO</v>
      </c>
      <c r="L174" t="str">
        <f t="shared" si="18"/>
        <v>NO</v>
      </c>
    </row>
    <row r="175" spans="1:12">
      <c r="A175" s="2">
        <f t="shared" si="16"/>
        <v>46143</v>
      </c>
      <c r="B175">
        <f t="shared" si="19"/>
        <v>2</v>
      </c>
      <c r="C175" t="s">
        <v>11</v>
      </c>
      <c r="D175">
        <v>997</v>
      </c>
      <c r="E175">
        <v>997</v>
      </c>
      <c r="F175">
        <f t="shared" si="23"/>
        <v>0</v>
      </c>
      <c r="G175">
        <v>7</v>
      </c>
      <c r="H175">
        <f t="shared" si="20"/>
        <v>12</v>
      </c>
      <c r="I175">
        <f t="shared" si="21"/>
        <v>19</v>
      </c>
      <c r="J175" t="str">
        <f t="shared" si="17"/>
        <v>NO</v>
      </c>
      <c r="K175" t="str">
        <f t="shared" si="22"/>
        <v>NO</v>
      </c>
      <c r="L175" t="str">
        <f t="shared" si="18"/>
        <v>NO</v>
      </c>
    </row>
    <row r="176" spans="1:12">
      <c r="A176" s="2">
        <f t="shared" si="16"/>
        <v>46146</v>
      </c>
      <c r="B176">
        <f t="shared" si="19"/>
        <v>1</v>
      </c>
      <c r="C176" t="s">
        <v>11</v>
      </c>
      <c r="D176">
        <v>235</v>
      </c>
      <c r="E176">
        <v>228</v>
      </c>
      <c r="F176">
        <f t="shared" si="23"/>
        <v>7</v>
      </c>
      <c r="G176">
        <v>4</v>
      </c>
      <c r="H176">
        <f t="shared" si="20"/>
        <v>12</v>
      </c>
      <c r="I176">
        <f t="shared" si="21"/>
        <v>16</v>
      </c>
      <c r="J176" t="str">
        <f t="shared" si="17"/>
        <v>NO</v>
      </c>
      <c r="K176" t="str">
        <f t="shared" si="22"/>
        <v>NO</v>
      </c>
      <c r="L176" t="str">
        <f t="shared" si="18"/>
        <v>NO</v>
      </c>
    </row>
    <row r="177" spans="1:12">
      <c r="A177" s="2">
        <f t="shared" si="16"/>
        <v>46146</v>
      </c>
      <c r="B177">
        <f t="shared" si="19"/>
        <v>2</v>
      </c>
      <c r="C177" t="s">
        <v>12</v>
      </c>
      <c r="D177">
        <v>564</v>
      </c>
      <c r="E177">
        <v>552</v>
      </c>
      <c r="F177">
        <f t="shared" si="23"/>
        <v>12</v>
      </c>
      <c r="G177">
        <v>27</v>
      </c>
      <c r="H177">
        <f t="shared" si="20"/>
        <v>20</v>
      </c>
      <c r="I177">
        <f t="shared" si="21"/>
        <v>47</v>
      </c>
      <c r="J177" t="str">
        <f t="shared" si="17"/>
        <v>YES</v>
      </c>
      <c r="K177" t="str">
        <f t="shared" si="22"/>
        <v>YES</v>
      </c>
      <c r="L177" t="str">
        <f t="shared" si="18"/>
        <v>YES</v>
      </c>
    </row>
    <row r="178" spans="1:12">
      <c r="A178" s="2">
        <f t="shared" si="16"/>
        <v>46147</v>
      </c>
      <c r="B178">
        <f t="shared" si="19"/>
        <v>1</v>
      </c>
      <c r="C178" t="s">
        <v>12</v>
      </c>
      <c r="D178">
        <v>229</v>
      </c>
      <c r="E178">
        <v>228</v>
      </c>
      <c r="F178">
        <f t="shared" si="23"/>
        <v>1</v>
      </c>
      <c r="G178">
        <v>7</v>
      </c>
      <c r="H178">
        <f t="shared" si="20"/>
        <v>20</v>
      </c>
      <c r="I178">
        <f t="shared" si="21"/>
        <v>27</v>
      </c>
      <c r="J178" t="str">
        <f t="shared" si="17"/>
        <v>YES</v>
      </c>
      <c r="K178" t="str">
        <f t="shared" si="22"/>
        <v>NO</v>
      </c>
      <c r="L178" t="str">
        <f t="shared" si="18"/>
        <v>NO</v>
      </c>
    </row>
    <row r="179" spans="1:12">
      <c r="A179" s="2">
        <f t="shared" si="16"/>
        <v>46147</v>
      </c>
      <c r="B179">
        <f t="shared" si="19"/>
        <v>2</v>
      </c>
      <c r="C179" t="s">
        <v>12</v>
      </c>
      <c r="D179">
        <v>628</v>
      </c>
      <c r="E179">
        <v>613</v>
      </c>
      <c r="F179">
        <f t="shared" si="23"/>
        <v>15</v>
      </c>
      <c r="G179">
        <v>16</v>
      </c>
      <c r="H179">
        <f t="shared" si="20"/>
        <v>20</v>
      </c>
      <c r="I179">
        <f t="shared" si="21"/>
        <v>36</v>
      </c>
      <c r="J179" t="str">
        <f t="shared" si="17"/>
        <v>YES</v>
      </c>
      <c r="K179" t="str">
        <f t="shared" si="22"/>
        <v>YES</v>
      </c>
      <c r="L179" t="str">
        <f t="shared" si="18"/>
        <v>NO</v>
      </c>
    </row>
    <row r="180" spans="1:12">
      <c r="A180" s="2">
        <f t="shared" si="16"/>
        <v>46148</v>
      </c>
      <c r="B180">
        <f t="shared" si="19"/>
        <v>1</v>
      </c>
      <c r="C180" t="s">
        <v>11</v>
      </c>
      <c r="D180">
        <v>641</v>
      </c>
      <c r="E180">
        <v>636</v>
      </c>
      <c r="F180">
        <f t="shared" si="23"/>
        <v>5</v>
      </c>
      <c r="G180">
        <v>4</v>
      </c>
      <c r="H180">
        <f t="shared" si="20"/>
        <v>12</v>
      </c>
      <c r="I180">
        <f t="shared" si="21"/>
        <v>16</v>
      </c>
      <c r="J180" t="str">
        <f t="shared" si="17"/>
        <v>NO</v>
      </c>
      <c r="K180" t="str">
        <f t="shared" si="22"/>
        <v>NO</v>
      </c>
      <c r="L180" t="str">
        <f t="shared" si="18"/>
        <v>NO</v>
      </c>
    </row>
    <row r="181" spans="1:12">
      <c r="A181" s="2">
        <f t="shared" si="16"/>
        <v>46148</v>
      </c>
      <c r="B181">
        <f t="shared" si="19"/>
        <v>2</v>
      </c>
      <c r="C181" t="s">
        <v>11</v>
      </c>
      <c r="D181">
        <v>935</v>
      </c>
      <c r="E181">
        <v>922</v>
      </c>
      <c r="F181">
        <f t="shared" si="23"/>
        <v>13</v>
      </c>
      <c r="G181">
        <v>19</v>
      </c>
      <c r="H181">
        <f t="shared" si="20"/>
        <v>12</v>
      </c>
      <c r="I181">
        <f t="shared" si="21"/>
        <v>31</v>
      </c>
      <c r="J181" t="str">
        <f t="shared" si="17"/>
        <v>YES</v>
      </c>
      <c r="K181" t="str">
        <f t="shared" si="22"/>
        <v>YES</v>
      </c>
      <c r="L181" t="str">
        <f t="shared" si="18"/>
        <v>NO</v>
      </c>
    </row>
    <row r="182" spans="1:12">
      <c r="A182" s="2">
        <f t="shared" si="16"/>
        <v>46149</v>
      </c>
      <c r="B182">
        <f t="shared" si="19"/>
        <v>1</v>
      </c>
      <c r="C182" t="s">
        <v>12</v>
      </c>
      <c r="D182">
        <v>511</v>
      </c>
      <c r="E182">
        <v>497</v>
      </c>
      <c r="F182">
        <f t="shared" si="23"/>
        <v>14</v>
      </c>
      <c r="G182">
        <v>29</v>
      </c>
      <c r="H182">
        <f t="shared" si="20"/>
        <v>20</v>
      </c>
      <c r="I182">
        <f t="shared" si="21"/>
        <v>49</v>
      </c>
      <c r="J182" t="str">
        <f t="shared" si="17"/>
        <v>YES</v>
      </c>
      <c r="K182" t="str">
        <f t="shared" si="22"/>
        <v>YES</v>
      </c>
      <c r="L182" t="str">
        <f t="shared" si="18"/>
        <v>YES</v>
      </c>
    </row>
    <row r="183" spans="1:12">
      <c r="A183" s="2">
        <f t="shared" si="16"/>
        <v>46149</v>
      </c>
      <c r="B183">
        <f t="shared" si="19"/>
        <v>2</v>
      </c>
      <c r="C183" t="s">
        <v>11</v>
      </c>
      <c r="D183">
        <v>901</v>
      </c>
      <c r="E183">
        <v>893</v>
      </c>
      <c r="F183">
        <f t="shared" si="23"/>
        <v>8</v>
      </c>
      <c r="G183">
        <v>7</v>
      </c>
      <c r="H183">
        <f t="shared" si="20"/>
        <v>12</v>
      </c>
      <c r="I183">
        <f t="shared" si="21"/>
        <v>19</v>
      </c>
      <c r="J183" t="str">
        <f t="shared" si="17"/>
        <v>NO</v>
      </c>
      <c r="K183" t="str">
        <f t="shared" si="22"/>
        <v>NO</v>
      </c>
      <c r="L183" t="str">
        <f t="shared" si="18"/>
        <v>NO</v>
      </c>
    </row>
    <row r="184" spans="1:12">
      <c r="A184" s="2">
        <f t="shared" si="16"/>
        <v>46150</v>
      </c>
      <c r="B184">
        <f t="shared" si="19"/>
        <v>1</v>
      </c>
      <c r="C184" t="s">
        <v>10</v>
      </c>
      <c r="D184">
        <v>508</v>
      </c>
      <c r="E184">
        <v>488</v>
      </c>
      <c r="F184">
        <f t="shared" si="23"/>
        <v>20</v>
      </c>
      <c r="G184">
        <v>18</v>
      </c>
      <c r="H184">
        <f t="shared" si="20"/>
        <v>15</v>
      </c>
      <c r="I184">
        <f t="shared" si="21"/>
        <v>33</v>
      </c>
      <c r="J184" t="str">
        <f t="shared" si="17"/>
        <v>YES</v>
      </c>
      <c r="K184" t="str">
        <f t="shared" si="22"/>
        <v>YES</v>
      </c>
      <c r="L184" t="str">
        <f t="shared" si="18"/>
        <v>NO</v>
      </c>
    </row>
    <row r="185" spans="1:12">
      <c r="A185" s="2">
        <f t="shared" si="16"/>
        <v>46150</v>
      </c>
      <c r="B185">
        <f t="shared" si="19"/>
        <v>2</v>
      </c>
      <c r="C185" t="s">
        <v>10</v>
      </c>
      <c r="D185">
        <v>932</v>
      </c>
      <c r="E185">
        <v>912</v>
      </c>
      <c r="F185">
        <f t="shared" si="23"/>
        <v>20</v>
      </c>
      <c r="G185">
        <v>27</v>
      </c>
      <c r="H185">
        <f t="shared" si="20"/>
        <v>15</v>
      </c>
      <c r="I185">
        <f t="shared" si="21"/>
        <v>42</v>
      </c>
      <c r="J185" t="str">
        <f t="shared" si="17"/>
        <v>YES</v>
      </c>
      <c r="K185" t="str">
        <f t="shared" si="22"/>
        <v>YES</v>
      </c>
      <c r="L185" t="str">
        <f t="shared" si="18"/>
        <v>YES</v>
      </c>
    </row>
    <row r="186" spans="1:12">
      <c r="A186" s="2">
        <f t="shared" si="16"/>
        <v>46153</v>
      </c>
      <c r="B186">
        <f t="shared" si="19"/>
        <v>1</v>
      </c>
      <c r="C186" t="s">
        <v>11</v>
      </c>
      <c r="D186">
        <v>403</v>
      </c>
      <c r="E186">
        <v>387</v>
      </c>
      <c r="F186">
        <f t="shared" si="23"/>
        <v>16</v>
      </c>
      <c r="G186">
        <v>27</v>
      </c>
      <c r="H186">
        <f t="shared" si="20"/>
        <v>12</v>
      </c>
      <c r="I186">
        <f t="shared" si="21"/>
        <v>39</v>
      </c>
      <c r="J186" t="str">
        <f t="shared" si="17"/>
        <v>YES</v>
      </c>
      <c r="K186" t="str">
        <f t="shared" si="22"/>
        <v>YES</v>
      </c>
      <c r="L186" t="str">
        <f t="shared" si="18"/>
        <v>NO</v>
      </c>
    </row>
    <row r="187" spans="1:12">
      <c r="A187" s="2">
        <f t="shared" si="16"/>
        <v>46153</v>
      </c>
      <c r="B187">
        <f t="shared" si="19"/>
        <v>2</v>
      </c>
      <c r="C187" t="s">
        <v>10</v>
      </c>
      <c r="D187">
        <v>915</v>
      </c>
      <c r="E187">
        <v>899</v>
      </c>
      <c r="F187">
        <f t="shared" si="23"/>
        <v>16</v>
      </c>
      <c r="G187">
        <v>22</v>
      </c>
      <c r="H187">
        <f t="shared" si="20"/>
        <v>15</v>
      </c>
      <c r="I187">
        <f t="shared" si="21"/>
        <v>37</v>
      </c>
      <c r="J187" t="str">
        <f t="shared" si="17"/>
        <v>YES</v>
      </c>
      <c r="K187" t="str">
        <f t="shared" si="22"/>
        <v>YES</v>
      </c>
      <c r="L187" t="str">
        <f t="shared" si="18"/>
        <v>NO</v>
      </c>
    </row>
    <row r="188" spans="1:12">
      <c r="A188" s="2">
        <f t="shared" si="16"/>
        <v>46154</v>
      </c>
      <c r="B188">
        <f t="shared" si="19"/>
        <v>1</v>
      </c>
      <c r="C188" t="s">
        <v>10</v>
      </c>
      <c r="D188">
        <v>449</v>
      </c>
      <c r="E188">
        <v>435</v>
      </c>
      <c r="F188">
        <f t="shared" si="23"/>
        <v>14</v>
      </c>
      <c r="G188">
        <v>24</v>
      </c>
      <c r="H188">
        <f t="shared" si="20"/>
        <v>15</v>
      </c>
      <c r="I188">
        <f t="shared" si="21"/>
        <v>39</v>
      </c>
      <c r="J188" t="str">
        <f t="shared" si="17"/>
        <v>YES</v>
      </c>
      <c r="K188" t="str">
        <f t="shared" si="22"/>
        <v>YES</v>
      </c>
      <c r="L188" t="str">
        <f t="shared" si="18"/>
        <v>NO</v>
      </c>
    </row>
    <row r="189" spans="1:12">
      <c r="A189" s="2">
        <f t="shared" si="16"/>
        <v>46154</v>
      </c>
      <c r="B189">
        <f t="shared" si="19"/>
        <v>2</v>
      </c>
      <c r="C189" t="s">
        <v>11</v>
      </c>
      <c r="D189">
        <v>845</v>
      </c>
      <c r="E189">
        <v>825</v>
      </c>
      <c r="F189">
        <f t="shared" si="23"/>
        <v>20</v>
      </c>
      <c r="G189">
        <v>27</v>
      </c>
      <c r="H189">
        <f t="shared" si="20"/>
        <v>12</v>
      </c>
      <c r="I189">
        <f t="shared" si="21"/>
        <v>39</v>
      </c>
      <c r="J189" t="str">
        <f t="shared" si="17"/>
        <v>YES</v>
      </c>
      <c r="K189" t="str">
        <f t="shared" si="22"/>
        <v>YES</v>
      </c>
      <c r="L189" t="str">
        <f t="shared" si="18"/>
        <v>NO</v>
      </c>
    </row>
    <row r="190" spans="1:12">
      <c r="A190" s="2">
        <f t="shared" si="16"/>
        <v>46155</v>
      </c>
      <c r="B190">
        <f t="shared" si="19"/>
        <v>1</v>
      </c>
      <c r="C190" t="s">
        <v>11</v>
      </c>
      <c r="D190">
        <v>393</v>
      </c>
      <c r="E190">
        <v>392</v>
      </c>
      <c r="F190">
        <f t="shared" si="23"/>
        <v>1</v>
      </c>
      <c r="G190">
        <v>7</v>
      </c>
      <c r="H190">
        <f t="shared" si="20"/>
        <v>12</v>
      </c>
      <c r="I190">
        <f t="shared" si="21"/>
        <v>19</v>
      </c>
      <c r="J190" t="str">
        <f t="shared" si="17"/>
        <v>NO</v>
      </c>
      <c r="K190" t="str">
        <f t="shared" si="22"/>
        <v>NO</v>
      </c>
      <c r="L190" t="str">
        <f t="shared" si="18"/>
        <v>NO</v>
      </c>
    </row>
    <row r="191" spans="1:12">
      <c r="A191" s="2">
        <f t="shared" si="16"/>
        <v>46155</v>
      </c>
      <c r="B191">
        <f t="shared" si="19"/>
        <v>2</v>
      </c>
      <c r="C191" t="s">
        <v>12</v>
      </c>
      <c r="D191">
        <v>225</v>
      </c>
      <c r="E191">
        <v>224</v>
      </c>
      <c r="F191">
        <f t="shared" si="23"/>
        <v>1</v>
      </c>
      <c r="G191">
        <v>6</v>
      </c>
      <c r="H191">
        <f t="shared" si="20"/>
        <v>20</v>
      </c>
      <c r="I191">
        <f t="shared" si="21"/>
        <v>26</v>
      </c>
      <c r="J191" t="str">
        <f t="shared" si="17"/>
        <v>YES</v>
      </c>
      <c r="K191" t="str">
        <f t="shared" si="22"/>
        <v>NO</v>
      </c>
      <c r="L191" t="str">
        <f t="shared" si="18"/>
        <v>NO</v>
      </c>
    </row>
    <row r="192" spans="1:12">
      <c r="A192" s="2">
        <f t="shared" si="16"/>
        <v>46156</v>
      </c>
      <c r="B192">
        <f t="shared" si="19"/>
        <v>1</v>
      </c>
      <c r="C192" t="s">
        <v>10</v>
      </c>
      <c r="D192">
        <v>322</v>
      </c>
      <c r="E192">
        <v>309</v>
      </c>
      <c r="F192">
        <f t="shared" si="23"/>
        <v>13</v>
      </c>
      <c r="G192">
        <v>26</v>
      </c>
      <c r="H192">
        <f t="shared" si="20"/>
        <v>15</v>
      </c>
      <c r="I192">
        <f t="shared" si="21"/>
        <v>41</v>
      </c>
      <c r="J192" t="str">
        <f t="shared" si="17"/>
        <v>YES</v>
      </c>
      <c r="K192" t="str">
        <f t="shared" si="22"/>
        <v>YES</v>
      </c>
      <c r="L192" t="str">
        <f t="shared" si="18"/>
        <v>YES</v>
      </c>
    </row>
    <row r="193" spans="1:12">
      <c r="A193" s="2">
        <f t="shared" si="16"/>
        <v>46156</v>
      </c>
      <c r="B193">
        <f t="shared" si="19"/>
        <v>2</v>
      </c>
      <c r="C193" t="s">
        <v>10</v>
      </c>
      <c r="D193">
        <v>866</v>
      </c>
      <c r="E193">
        <v>854</v>
      </c>
      <c r="F193">
        <f t="shared" si="23"/>
        <v>12</v>
      </c>
      <c r="G193">
        <v>20</v>
      </c>
      <c r="H193">
        <f t="shared" si="20"/>
        <v>15</v>
      </c>
      <c r="I193">
        <f t="shared" si="21"/>
        <v>35</v>
      </c>
      <c r="J193" t="str">
        <f t="shared" si="17"/>
        <v>YES</v>
      </c>
      <c r="K193" t="str">
        <f t="shared" si="22"/>
        <v>YES</v>
      </c>
      <c r="L193" t="str">
        <f t="shared" si="18"/>
        <v>NO</v>
      </c>
    </row>
    <row r="194" spans="1:12">
      <c r="A194" s="2">
        <f t="shared" si="16"/>
        <v>46157</v>
      </c>
      <c r="B194">
        <f t="shared" si="19"/>
        <v>1</v>
      </c>
      <c r="C194" t="s">
        <v>10</v>
      </c>
      <c r="D194">
        <v>416</v>
      </c>
      <c r="E194">
        <v>415</v>
      </c>
      <c r="F194">
        <f t="shared" si="23"/>
        <v>1</v>
      </c>
      <c r="G194">
        <v>8</v>
      </c>
      <c r="H194">
        <f t="shared" si="20"/>
        <v>15</v>
      </c>
      <c r="I194">
        <f t="shared" si="21"/>
        <v>23</v>
      </c>
      <c r="J194" t="str">
        <f t="shared" si="17"/>
        <v>YES</v>
      </c>
      <c r="K194" t="str">
        <f t="shared" si="22"/>
        <v>NO</v>
      </c>
      <c r="L194" t="str">
        <f t="shared" si="18"/>
        <v>NO</v>
      </c>
    </row>
    <row r="195" spans="1:12">
      <c r="A195" s="2">
        <f t="shared" ref="A195:A228" si="24">WORKDAY(DATE(2026,1,1)-1,INT((ROW(A194)-1)/2)+1)</f>
        <v>46157</v>
      </c>
      <c r="B195">
        <f t="shared" si="19"/>
        <v>2</v>
      </c>
      <c r="C195" t="s">
        <v>10</v>
      </c>
      <c r="D195">
        <v>694</v>
      </c>
      <c r="E195">
        <v>686</v>
      </c>
      <c r="F195">
        <f t="shared" si="23"/>
        <v>8</v>
      </c>
      <c r="G195">
        <v>8</v>
      </c>
      <c r="H195">
        <f t="shared" si="20"/>
        <v>15</v>
      </c>
      <c r="I195">
        <f t="shared" si="21"/>
        <v>23</v>
      </c>
      <c r="J195" t="str">
        <f t="shared" ref="J195:J258" si="25">IF(I195&gt;20,"YES","NO")</f>
        <v>YES</v>
      </c>
      <c r="K195" t="str">
        <f t="shared" si="22"/>
        <v>NO</v>
      </c>
      <c r="L195" t="str">
        <f t="shared" ref="L195:L258" si="26">IF(I195&gt;39,"YES","NO")</f>
        <v>NO</v>
      </c>
    </row>
    <row r="196" spans="1:12">
      <c r="A196" s="2">
        <f t="shared" si="24"/>
        <v>46160</v>
      </c>
      <c r="B196">
        <f t="shared" ref="B196:B259" si="27">IF(ISEVEN(ROW()),1,2)</f>
        <v>1</v>
      </c>
      <c r="C196" t="s">
        <v>10</v>
      </c>
      <c r="D196">
        <v>416</v>
      </c>
      <c r="E196">
        <v>408</v>
      </c>
      <c r="F196">
        <f t="shared" si="23"/>
        <v>8</v>
      </c>
      <c r="G196">
        <v>8</v>
      </c>
      <c r="H196">
        <f t="shared" ref="H196:H259" si="28">IF(C196="8 kg",15,IF(C196="7 kg",12,20))</f>
        <v>15</v>
      </c>
      <c r="I196">
        <f t="shared" ref="I196:I259" si="29">G196+H196</f>
        <v>23</v>
      </c>
      <c r="J196" t="str">
        <f t="shared" si="25"/>
        <v>YES</v>
      </c>
      <c r="K196" t="str">
        <f t="shared" ref="K196:K259" si="30">IF(I196&gt;30,"YES","NO")</f>
        <v>NO</v>
      </c>
      <c r="L196" t="str">
        <f t="shared" si="26"/>
        <v>NO</v>
      </c>
    </row>
    <row r="197" spans="1:12">
      <c r="A197" s="2">
        <f t="shared" si="24"/>
        <v>46160</v>
      </c>
      <c r="B197">
        <f t="shared" si="27"/>
        <v>2</v>
      </c>
      <c r="C197" t="s">
        <v>12</v>
      </c>
      <c r="D197">
        <v>878</v>
      </c>
      <c r="E197">
        <v>873</v>
      </c>
      <c r="F197">
        <f t="shared" si="23"/>
        <v>5</v>
      </c>
      <c r="G197">
        <v>6</v>
      </c>
      <c r="H197">
        <f t="shared" si="28"/>
        <v>20</v>
      </c>
      <c r="I197">
        <f t="shared" si="29"/>
        <v>26</v>
      </c>
      <c r="J197" t="str">
        <f t="shared" si="25"/>
        <v>YES</v>
      </c>
      <c r="K197" t="str">
        <f t="shared" si="30"/>
        <v>NO</v>
      </c>
      <c r="L197" t="str">
        <f t="shared" si="26"/>
        <v>NO</v>
      </c>
    </row>
    <row r="198" spans="1:12">
      <c r="A198" s="2">
        <f t="shared" si="24"/>
        <v>46161</v>
      </c>
      <c r="B198">
        <f t="shared" si="27"/>
        <v>1</v>
      </c>
      <c r="C198" t="s">
        <v>12</v>
      </c>
      <c r="D198">
        <v>821</v>
      </c>
      <c r="E198">
        <v>820</v>
      </c>
      <c r="F198">
        <f t="shared" si="23"/>
        <v>1</v>
      </c>
      <c r="G198">
        <v>5</v>
      </c>
      <c r="H198">
        <f t="shared" si="28"/>
        <v>20</v>
      </c>
      <c r="I198">
        <f t="shared" si="29"/>
        <v>25</v>
      </c>
      <c r="J198" t="str">
        <f t="shared" si="25"/>
        <v>YES</v>
      </c>
      <c r="K198" t="str">
        <f t="shared" si="30"/>
        <v>NO</v>
      </c>
      <c r="L198" t="str">
        <f t="shared" si="26"/>
        <v>NO</v>
      </c>
    </row>
    <row r="199" spans="1:12">
      <c r="A199" s="2">
        <f t="shared" si="24"/>
        <v>46161</v>
      </c>
      <c r="B199">
        <f t="shared" si="27"/>
        <v>2</v>
      </c>
      <c r="C199" t="s">
        <v>12</v>
      </c>
      <c r="D199">
        <v>376</v>
      </c>
      <c r="E199">
        <v>356</v>
      </c>
      <c r="F199">
        <f t="shared" si="23"/>
        <v>20</v>
      </c>
      <c r="G199">
        <v>19</v>
      </c>
      <c r="H199">
        <f t="shared" si="28"/>
        <v>20</v>
      </c>
      <c r="I199">
        <f t="shared" si="29"/>
        <v>39</v>
      </c>
      <c r="J199" t="str">
        <f t="shared" si="25"/>
        <v>YES</v>
      </c>
      <c r="K199" t="str">
        <f t="shared" si="30"/>
        <v>YES</v>
      </c>
      <c r="L199" t="str">
        <f t="shared" si="26"/>
        <v>NO</v>
      </c>
    </row>
    <row r="200" spans="1:12">
      <c r="A200" s="2">
        <f t="shared" si="24"/>
        <v>46162</v>
      </c>
      <c r="B200">
        <f t="shared" si="27"/>
        <v>1</v>
      </c>
      <c r="C200" t="s">
        <v>10</v>
      </c>
      <c r="D200">
        <v>893</v>
      </c>
      <c r="E200">
        <v>878</v>
      </c>
      <c r="F200">
        <f t="shared" si="23"/>
        <v>15</v>
      </c>
      <c r="G200">
        <v>20</v>
      </c>
      <c r="H200">
        <f t="shared" si="28"/>
        <v>15</v>
      </c>
      <c r="I200">
        <f t="shared" si="29"/>
        <v>35</v>
      </c>
      <c r="J200" t="str">
        <f t="shared" si="25"/>
        <v>YES</v>
      </c>
      <c r="K200" t="str">
        <f t="shared" si="30"/>
        <v>YES</v>
      </c>
      <c r="L200" t="str">
        <f t="shared" si="26"/>
        <v>NO</v>
      </c>
    </row>
    <row r="201" spans="1:12">
      <c r="A201" s="2">
        <f t="shared" si="24"/>
        <v>46162</v>
      </c>
      <c r="B201">
        <f t="shared" si="27"/>
        <v>2</v>
      </c>
      <c r="C201" t="s">
        <v>10</v>
      </c>
      <c r="D201">
        <v>480</v>
      </c>
      <c r="E201">
        <v>472</v>
      </c>
      <c r="F201">
        <f t="shared" si="23"/>
        <v>8</v>
      </c>
      <c r="G201">
        <v>5</v>
      </c>
      <c r="H201">
        <f t="shared" si="28"/>
        <v>15</v>
      </c>
      <c r="I201">
        <f t="shared" si="29"/>
        <v>20</v>
      </c>
      <c r="J201" t="str">
        <f t="shared" si="25"/>
        <v>NO</v>
      </c>
      <c r="K201" t="str">
        <f t="shared" si="30"/>
        <v>NO</v>
      </c>
      <c r="L201" t="str">
        <f t="shared" si="26"/>
        <v>NO</v>
      </c>
    </row>
    <row r="202" spans="1:12">
      <c r="A202" s="2">
        <f t="shared" si="24"/>
        <v>46163</v>
      </c>
      <c r="B202">
        <f t="shared" si="27"/>
        <v>1</v>
      </c>
      <c r="C202" t="s">
        <v>11</v>
      </c>
      <c r="D202">
        <v>942</v>
      </c>
      <c r="E202">
        <v>937</v>
      </c>
      <c r="F202">
        <f t="shared" si="23"/>
        <v>5</v>
      </c>
      <c r="G202">
        <v>7</v>
      </c>
      <c r="H202">
        <f t="shared" si="28"/>
        <v>12</v>
      </c>
      <c r="I202">
        <f t="shared" si="29"/>
        <v>19</v>
      </c>
      <c r="J202" t="str">
        <f t="shared" si="25"/>
        <v>NO</v>
      </c>
      <c r="K202" t="str">
        <f t="shared" si="30"/>
        <v>NO</v>
      </c>
      <c r="L202" t="str">
        <f t="shared" si="26"/>
        <v>NO</v>
      </c>
    </row>
    <row r="203" spans="1:12">
      <c r="A203" s="2">
        <f t="shared" si="24"/>
        <v>46163</v>
      </c>
      <c r="B203">
        <f t="shared" si="27"/>
        <v>2</v>
      </c>
      <c r="C203" t="s">
        <v>11</v>
      </c>
      <c r="D203">
        <v>775</v>
      </c>
      <c r="E203">
        <v>769</v>
      </c>
      <c r="F203">
        <f t="shared" si="23"/>
        <v>6</v>
      </c>
      <c r="G203">
        <v>7</v>
      </c>
      <c r="H203">
        <f t="shared" si="28"/>
        <v>12</v>
      </c>
      <c r="I203">
        <f t="shared" si="29"/>
        <v>19</v>
      </c>
      <c r="J203" t="str">
        <f t="shared" si="25"/>
        <v>NO</v>
      </c>
      <c r="K203" t="str">
        <f t="shared" si="30"/>
        <v>NO</v>
      </c>
      <c r="L203" t="str">
        <f t="shared" si="26"/>
        <v>NO</v>
      </c>
    </row>
    <row r="204" spans="1:12">
      <c r="A204" s="2">
        <f t="shared" si="24"/>
        <v>46164</v>
      </c>
      <c r="B204">
        <f t="shared" si="27"/>
        <v>1</v>
      </c>
      <c r="C204" t="s">
        <v>11</v>
      </c>
      <c r="D204">
        <v>666</v>
      </c>
      <c r="E204">
        <v>646</v>
      </c>
      <c r="F204">
        <f t="shared" si="23"/>
        <v>20</v>
      </c>
      <c r="G204">
        <v>18</v>
      </c>
      <c r="H204">
        <f t="shared" si="28"/>
        <v>12</v>
      </c>
      <c r="I204">
        <f t="shared" si="29"/>
        <v>30</v>
      </c>
      <c r="J204" t="str">
        <f t="shared" si="25"/>
        <v>YES</v>
      </c>
      <c r="K204" t="str">
        <f t="shared" si="30"/>
        <v>NO</v>
      </c>
      <c r="L204" t="str">
        <f t="shared" si="26"/>
        <v>NO</v>
      </c>
    </row>
    <row r="205" spans="1:12">
      <c r="A205" s="2">
        <f t="shared" si="24"/>
        <v>46164</v>
      </c>
      <c r="B205">
        <f t="shared" si="27"/>
        <v>2</v>
      </c>
      <c r="C205" t="s">
        <v>12</v>
      </c>
      <c r="D205">
        <v>501</v>
      </c>
      <c r="E205">
        <v>488</v>
      </c>
      <c r="F205">
        <f t="shared" si="23"/>
        <v>13</v>
      </c>
      <c r="G205">
        <v>28</v>
      </c>
      <c r="H205">
        <f t="shared" si="28"/>
        <v>20</v>
      </c>
      <c r="I205">
        <f t="shared" si="29"/>
        <v>48</v>
      </c>
      <c r="J205" t="str">
        <f t="shared" si="25"/>
        <v>YES</v>
      </c>
      <c r="K205" t="str">
        <f t="shared" si="30"/>
        <v>YES</v>
      </c>
      <c r="L205" t="str">
        <f t="shared" si="26"/>
        <v>YES</v>
      </c>
    </row>
    <row r="206" spans="1:12">
      <c r="A206" s="2">
        <f t="shared" si="24"/>
        <v>46167</v>
      </c>
      <c r="B206">
        <f t="shared" si="27"/>
        <v>1</v>
      </c>
      <c r="C206" t="s">
        <v>12</v>
      </c>
      <c r="D206">
        <v>264</v>
      </c>
      <c r="E206">
        <v>263</v>
      </c>
      <c r="F206">
        <f t="shared" si="23"/>
        <v>1</v>
      </c>
      <c r="G206">
        <v>8</v>
      </c>
      <c r="H206">
        <f t="shared" si="28"/>
        <v>20</v>
      </c>
      <c r="I206">
        <f t="shared" si="29"/>
        <v>28</v>
      </c>
      <c r="J206" t="str">
        <f t="shared" si="25"/>
        <v>YES</v>
      </c>
      <c r="K206" t="str">
        <f t="shared" si="30"/>
        <v>NO</v>
      </c>
      <c r="L206" t="str">
        <f t="shared" si="26"/>
        <v>NO</v>
      </c>
    </row>
    <row r="207" spans="1:12">
      <c r="A207" s="2">
        <f t="shared" si="24"/>
        <v>46167</v>
      </c>
      <c r="B207">
        <f t="shared" si="27"/>
        <v>2</v>
      </c>
      <c r="C207" t="s">
        <v>11</v>
      </c>
      <c r="D207">
        <v>756</v>
      </c>
      <c r="E207">
        <v>749</v>
      </c>
      <c r="F207">
        <f t="shared" si="23"/>
        <v>7</v>
      </c>
      <c r="G207">
        <v>4</v>
      </c>
      <c r="H207">
        <f t="shared" si="28"/>
        <v>12</v>
      </c>
      <c r="I207">
        <f t="shared" si="29"/>
        <v>16</v>
      </c>
      <c r="J207" t="str">
        <f t="shared" si="25"/>
        <v>NO</v>
      </c>
      <c r="K207" t="str">
        <f t="shared" si="30"/>
        <v>NO</v>
      </c>
      <c r="L207" t="str">
        <f t="shared" si="26"/>
        <v>NO</v>
      </c>
    </row>
    <row r="208" spans="1:12">
      <c r="A208" s="2">
        <f t="shared" si="24"/>
        <v>46168</v>
      </c>
      <c r="B208">
        <f t="shared" si="27"/>
        <v>1</v>
      </c>
      <c r="C208" t="s">
        <v>10</v>
      </c>
      <c r="D208">
        <v>535</v>
      </c>
      <c r="E208">
        <v>521</v>
      </c>
      <c r="F208">
        <f t="shared" ref="F208:F259" si="31">D208-E208</f>
        <v>14</v>
      </c>
      <c r="G208">
        <v>21</v>
      </c>
      <c r="H208">
        <f t="shared" si="28"/>
        <v>15</v>
      </c>
      <c r="I208">
        <f t="shared" si="29"/>
        <v>36</v>
      </c>
      <c r="J208" t="str">
        <f t="shared" si="25"/>
        <v>YES</v>
      </c>
      <c r="K208" t="str">
        <f t="shared" si="30"/>
        <v>YES</v>
      </c>
      <c r="L208" t="str">
        <f t="shared" si="26"/>
        <v>NO</v>
      </c>
    </row>
    <row r="209" spans="1:12">
      <c r="A209" s="2">
        <f t="shared" si="24"/>
        <v>46168</v>
      </c>
      <c r="B209">
        <f t="shared" si="27"/>
        <v>2</v>
      </c>
      <c r="C209" t="s">
        <v>11</v>
      </c>
      <c r="D209">
        <v>946</v>
      </c>
      <c r="E209">
        <v>945</v>
      </c>
      <c r="F209">
        <f t="shared" si="31"/>
        <v>1</v>
      </c>
      <c r="G209">
        <v>8</v>
      </c>
      <c r="H209">
        <f t="shared" si="28"/>
        <v>12</v>
      </c>
      <c r="I209">
        <f t="shared" si="29"/>
        <v>20</v>
      </c>
      <c r="J209" t="str">
        <f t="shared" si="25"/>
        <v>NO</v>
      </c>
      <c r="K209" t="str">
        <f t="shared" si="30"/>
        <v>NO</v>
      </c>
      <c r="L209" t="str">
        <f t="shared" si="26"/>
        <v>NO</v>
      </c>
    </row>
    <row r="210" spans="1:12">
      <c r="A210" s="2">
        <f t="shared" si="24"/>
        <v>46169</v>
      </c>
      <c r="B210">
        <f t="shared" si="27"/>
        <v>1</v>
      </c>
      <c r="C210" t="s">
        <v>10</v>
      </c>
      <c r="D210">
        <v>365</v>
      </c>
      <c r="E210">
        <v>361</v>
      </c>
      <c r="F210">
        <f t="shared" si="31"/>
        <v>4</v>
      </c>
      <c r="G210">
        <v>8</v>
      </c>
      <c r="H210">
        <f t="shared" si="28"/>
        <v>15</v>
      </c>
      <c r="I210">
        <f t="shared" si="29"/>
        <v>23</v>
      </c>
      <c r="J210" t="str">
        <f t="shared" si="25"/>
        <v>YES</v>
      </c>
      <c r="K210" t="str">
        <f t="shared" si="30"/>
        <v>NO</v>
      </c>
      <c r="L210" t="str">
        <f t="shared" si="26"/>
        <v>NO</v>
      </c>
    </row>
    <row r="211" spans="1:12">
      <c r="A211" s="2">
        <f t="shared" si="24"/>
        <v>46169</v>
      </c>
      <c r="B211">
        <f t="shared" si="27"/>
        <v>2</v>
      </c>
      <c r="C211" t="s">
        <v>11</v>
      </c>
      <c r="D211">
        <v>684</v>
      </c>
      <c r="E211">
        <v>671</v>
      </c>
      <c r="F211">
        <f t="shared" si="31"/>
        <v>13</v>
      </c>
      <c r="G211">
        <v>19</v>
      </c>
      <c r="H211">
        <f t="shared" si="28"/>
        <v>12</v>
      </c>
      <c r="I211">
        <f t="shared" si="29"/>
        <v>31</v>
      </c>
      <c r="J211" t="str">
        <f t="shared" si="25"/>
        <v>YES</v>
      </c>
      <c r="K211" t="str">
        <f t="shared" si="30"/>
        <v>YES</v>
      </c>
      <c r="L211" t="str">
        <f t="shared" si="26"/>
        <v>NO</v>
      </c>
    </row>
    <row r="212" spans="1:12">
      <c r="A212" s="2">
        <f t="shared" si="24"/>
        <v>46170</v>
      </c>
      <c r="B212">
        <f t="shared" si="27"/>
        <v>1</v>
      </c>
      <c r="C212" t="s">
        <v>12</v>
      </c>
      <c r="D212">
        <v>710</v>
      </c>
      <c r="E212">
        <v>702</v>
      </c>
      <c r="F212">
        <f t="shared" si="31"/>
        <v>8</v>
      </c>
      <c r="G212">
        <v>7</v>
      </c>
      <c r="H212">
        <f t="shared" si="28"/>
        <v>20</v>
      </c>
      <c r="I212">
        <f t="shared" si="29"/>
        <v>27</v>
      </c>
      <c r="J212" t="str">
        <f t="shared" si="25"/>
        <v>YES</v>
      </c>
      <c r="K212" t="str">
        <f t="shared" si="30"/>
        <v>NO</v>
      </c>
      <c r="L212" t="str">
        <f t="shared" si="26"/>
        <v>NO</v>
      </c>
    </row>
    <row r="213" spans="1:12">
      <c r="A213" s="2">
        <f t="shared" si="24"/>
        <v>46170</v>
      </c>
      <c r="B213">
        <f t="shared" si="27"/>
        <v>2</v>
      </c>
      <c r="C213" t="s">
        <v>11</v>
      </c>
      <c r="D213">
        <v>704</v>
      </c>
      <c r="E213">
        <v>696</v>
      </c>
      <c r="F213">
        <f t="shared" si="31"/>
        <v>8</v>
      </c>
      <c r="G213">
        <v>6</v>
      </c>
      <c r="H213">
        <f t="shared" si="28"/>
        <v>12</v>
      </c>
      <c r="I213">
        <f t="shared" si="29"/>
        <v>18</v>
      </c>
      <c r="J213" t="str">
        <f t="shared" si="25"/>
        <v>NO</v>
      </c>
      <c r="K213" t="str">
        <f t="shared" si="30"/>
        <v>NO</v>
      </c>
      <c r="L213" t="str">
        <f t="shared" si="26"/>
        <v>NO</v>
      </c>
    </row>
    <row r="214" spans="1:12">
      <c r="A214" s="2">
        <f t="shared" si="24"/>
        <v>46171</v>
      </c>
      <c r="B214">
        <f t="shared" si="27"/>
        <v>1</v>
      </c>
      <c r="C214" t="s">
        <v>12</v>
      </c>
      <c r="D214">
        <v>440</v>
      </c>
      <c r="E214">
        <v>440</v>
      </c>
      <c r="F214">
        <f t="shared" si="31"/>
        <v>0</v>
      </c>
      <c r="G214">
        <v>5</v>
      </c>
      <c r="H214">
        <f t="shared" si="28"/>
        <v>20</v>
      </c>
      <c r="I214">
        <f t="shared" si="29"/>
        <v>25</v>
      </c>
      <c r="J214" t="str">
        <f t="shared" si="25"/>
        <v>YES</v>
      </c>
      <c r="K214" t="str">
        <f t="shared" si="30"/>
        <v>NO</v>
      </c>
      <c r="L214" t="str">
        <f t="shared" si="26"/>
        <v>NO</v>
      </c>
    </row>
    <row r="215" spans="1:12">
      <c r="A215" s="2">
        <f t="shared" si="24"/>
        <v>46171</v>
      </c>
      <c r="B215">
        <f t="shared" si="27"/>
        <v>2</v>
      </c>
      <c r="C215" t="s">
        <v>11</v>
      </c>
      <c r="D215">
        <v>617</v>
      </c>
      <c r="E215">
        <v>604</v>
      </c>
      <c r="F215">
        <f t="shared" si="31"/>
        <v>13</v>
      </c>
      <c r="G215">
        <v>22</v>
      </c>
      <c r="H215">
        <f t="shared" si="28"/>
        <v>12</v>
      </c>
      <c r="I215">
        <f t="shared" si="29"/>
        <v>34</v>
      </c>
      <c r="J215" t="str">
        <f t="shared" si="25"/>
        <v>YES</v>
      </c>
      <c r="K215" t="str">
        <f t="shared" si="30"/>
        <v>YES</v>
      </c>
      <c r="L215" t="str">
        <f t="shared" si="26"/>
        <v>NO</v>
      </c>
    </row>
    <row r="216" spans="1:12">
      <c r="A216" s="2">
        <f t="shared" si="24"/>
        <v>46174</v>
      </c>
      <c r="B216">
        <f t="shared" si="27"/>
        <v>1</v>
      </c>
      <c r="C216" t="s">
        <v>12</v>
      </c>
      <c r="D216">
        <v>657</v>
      </c>
      <c r="E216">
        <v>654</v>
      </c>
      <c r="F216">
        <f t="shared" si="31"/>
        <v>3</v>
      </c>
      <c r="G216">
        <v>4</v>
      </c>
      <c r="H216">
        <f t="shared" si="28"/>
        <v>20</v>
      </c>
      <c r="I216">
        <f t="shared" si="29"/>
        <v>24</v>
      </c>
      <c r="J216" t="str">
        <f t="shared" si="25"/>
        <v>YES</v>
      </c>
      <c r="K216" t="str">
        <f t="shared" si="30"/>
        <v>NO</v>
      </c>
      <c r="L216" t="str">
        <f t="shared" si="26"/>
        <v>NO</v>
      </c>
    </row>
    <row r="217" spans="1:12">
      <c r="A217" s="2">
        <f t="shared" si="24"/>
        <v>46174</v>
      </c>
      <c r="B217">
        <f t="shared" si="27"/>
        <v>2</v>
      </c>
      <c r="C217" t="s">
        <v>12</v>
      </c>
      <c r="D217">
        <v>998</v>
      </c>
      <c r="E217">
        <v>979</v>
      </c>
      <c r="F217">
        <f t="shared" si="31"/>
        <v>19</v>
      </c>
      <c r="G217">
        <v>17</v>
      </c>
      <c r="H217">
        <f t="shared" si="28"/>
        <v>20</v>
      </c>
      <c r="I217">
        <f t="shared" si="29"/>
        <v>37</v>
      </c>
      <c r="J217" t="str">
        <f t="shared" si="25"/>
        <v>YES</v>
      </c>
      <c r="K217" t="str">
        <f t="shared" si="30"/>
        <v>YES</v>
      </c>
      <c r="L217" t="str">
        <f t="shared" si="26"/>
        <v>NO</v>
      </c>
    </row>
    <row r="218" spans="1:12">
      <c r="A218" s="2">
        <f t="shared" si="24"/>
        <v>46175</v>
      </c>
      <c r="B218">
        <f t="shared" si="27"/>
        <v>1</v>
      </c>
      <c r="C218" t="s">
        <v>11</v>
      </c>
      <c r="D218">
        <v>322</v>
      </c>
      <c r="E218">
        <v>316</v>
      </c>
      <c r="F218">
        <f t="shared" si="31"/>
        <v>6</v>
      </c>
      <c r="G218">
        <v>8</v>
      </c>
      <c r="H218">
        <f t="shared" si="28"/>
        <v>12</v>
      </c>
      <c r="I218">
        <f t="shared" si="29"/>
        <v>20</v>
      </c>
      <c r="J218" t="str">
        <f t="shared" si="25"/>
        <v>NO</v>
      </c>
      <c r="K218" t="str">
        <f t="shared" si="30"/>
        <v>NO</v>
      </c>
      <c r="L218" t="str">
        <f t="shared" si="26"/>
        <v>NO</v>
      </c>
    </row>
    <row r="219" spans="1:12">
      <c r="A219" s="2">
        <f t="shared" si="24"/>
        <v>46175</v>
      </c>
      <c r="B219">
        <f t="shared" si="27"/>
        <v>2</v>
      </c>
      <c r="C219" t="s">
        <v>11</v>
      </c>
      <c r="D219">
        <v>905</v>
      </c>
      <c r="E219">
        <v>885</v>
      </c>
      <c r="F219">
        <f t="shared" si="31"/>
        <v>20</v>
      </c>
      <c r="G219">
        <v>25</v>
      </c>
      <c r="H219">
        <f t="shared" si="28"/>
        <v>12</v>
      </c>
      <c r="I219">
        <f t="shared" si="29"/>
        <v>37</v>
      </c>
      <c r="J219" t="str">
        <f t="shared" si="25"/>
        <v>YES</v>
      </c>
      <c r="K219" t="str">
        <f t="shared" si="30"/>
        <v>YES</v>
      </c>
      <c r="L219" t="str">
        <f t="shared" si="26"/>
        <v>NO</v>
      </c>
    </row>
    <row r="220" spans="1:12">
      <c r="A220" s="2">
        <f t="shared" si="24"/>
        <v>46176</v>
      </c>
      <c r="B220">
        <f t="shared" si="27"/>
        <v>1</v>
      </c>
      <c r="C220" t="s">
        <v>11</v>
      </c>
      <c r="D220">
        <v>968</v>
      </c>
      <c r="E220">
        <v>958</v>
      </c>
      <c r="F220">
        <f t="shared" si="31"/>
        <v>10</v>
      </c>
      <c r="G220">
        <v>30</v>
      </c>
      <c r="H220">
        <f t="shared" si="28"/>
        <v>12</v>
      </c>
      <c r="I220">
        <f t="shared" si="29"/>
        <v>42</v>
      </c>
      <c r="J220" t="str">
        <f t="shared" si="25"/>
        <v>YES</v>
      </c>
      <c r="K220" t="str">
        <f t="shared" si="30"/>
        <v>YES</v>
      </c>
      <c r="L220" t="str">
        <f t="shared" si="26"/>
        <v>YES</v>
      </c>
    </row>
    <row r="221" spans="1:12">
      <c r="A221" s="2">
        <f t="shared" si="24"/>
        <v>46176</v>
      </c>
      <c r="B221">
        <f t="shared" si="27"/>
        <v>2</v>
      </c>
      <c r="C221" t="s">
        <v>11</v>
      </c>
      <c r="D221">
        <v>634</v>
      </c>
      <c r="E221">
        <v>633</v>
      </c>
      <c r="F221">
        <f t="shared" si="31"/>
        <v>1</v>
      </c>
      <c r="G221">
        <v>6</v>
      </c>
      <c r="H221">
        <f t="shared" si="28"/>
        <v>12</v>
      </c>
      <c r="I221">
        <f t="shared" si="29"/>
        <v>18</v>
      </c>
      <c r="J221" t="str">
        <f t="shared" si="25"/>
        <v>NO</v>
      </c>
      <c r="K221" t="str">
        <f t="shared" si="30"/>
        <v>NO</v>
      </c>
      <c r="L221" t="str">
        <f t="shared" si="26"/>
        <v>NO</v>
      </c>
    </row>
    <row r="222" spans="1:12">
      <c r="A222" s="2">
        <f t="shared" si="24"/>
        <v>46177</v>
      </c>
      <c r="B222">
        <f t="shared" si="27"/>
        <v>1</v>
      </c>
      <c r="C222" t="s">
        <v>10</v>
      </c>
      <c r="D222">
        <v>878</v>
      </c>
      <c r="E222">
        <v>861</v>
      </c>
      <c r="F222">
        <f t="shared" si="31"/>
        <v>17</v>
      </c>
      <c r="G222">
        <v>19</v>
      </c>
      <c r="H222">
        <f t="shared" si="28"/>
        <v>15</v>
      </c>
      <c r="I222">
        <f t="shared" si="29"/>
        <v>34</v>
      </c>
      <c r="J222" t="str">
        <f t="shared" si="25"/>
        <v>YES</v>
      </c>
      <c r="K222" t="str">
        <f t="shared" si="30"/>
        <v>YES</v>
      </c>
      <c r="L222" t="str">
        <f t="shared" si="26"/>
        <v>NO</v>
      </c>
    </row>
    <row r="223" spans="1:12">
      <c r="A223" s="2">
        <f t="shared" si="24"/>
        <v>46177</v>
      </c>
      <c r="B223">
        <f t="shared" si="27"/>
        <v>2</v>
      </c>
      <c r="C223" t="s">
        <v>12</v>
      </c>
      <c r="D223">
        <v>456</v>
      </c>
      <c r="E223">
        <v>449</v>
      </c>
      <c r="F223">
        <f t="shared" si="31"/>
        <v>7</v>
      </c>
      <c r="G223">
        <v>6</v>
      </c>
      <c r="H223">
        <f t="shared" si="28"/>
        <v>20</v>
      </c>
      <c r="I223">
        <f t="shared" si="29"/>
        <v>26</v>
      </c>
      <c r="J223" t="str">
        <f t="shared" si="25"/>
        <v>YES</v>
      </c>
      <c r="K223" t="str">
        <f t="shared" si="30"/>
        <v>NO</v>
      </c>
      <c r="L223" t="str">
        <f t="shared" si="26"/>
        <v>NO</v>
      </c>
    </row>
    <row r="224" spans="1:12">
      <c r="A224" s="2">
        <f t="shared" si="24"/>
        <v>46178</v>
      </c>
      <c r="B224">
        <f t="shared" si="27"/>
        <v>1</v>
      </c>
      <c r="C224" t="s">
        <v>12</v>
      </c>
      <c r="D224">
        <v>302</v>
      </c>
      <c r="E224">
        <v>291</v>
      </c>
      <c r="F224">
        <f t="shared" si="31"/>
        <v>11</v>
      </c>
      <c r="G224">
        <v>30</v>
      </c>
      <c r="H224">
        <f t="shared" si="28"/>
        <v>20</v>
      </c>
      <c r="I224">
        <f t="shared" si="29"/>
        <v>50</v>
      </c>
      <c r="J224" t="str">
        <f t="shared" si="25"/>
        <v>YES</v>
      </c>
      <c r="K224" t="str">
        <f t="shared" si="30"/>
        <v>YES</v>
      </c>
      <c r="L224" t="str">
        <f t="shared" si="26"/>
        <v>YES</v>
      </c>
    </row>
    <row r="225" spans="1:12">
      <c r="A225" s="2">
        <f t="shared" si="24"/>
        <v>46178</v>
      </c>
      <c r="B225">
        <f t="shared" si="27"/>
        <v>2</v>
      </c>
      <c r="C225" t="s">
        <v>11</v>
      </c>
      <c r="D225">
        <v>214</v>
      </c>
      <c r="E225">
        <v>211</v>
      </c>
      <c r="F225">
        <f t="shared" si="31"/>
        <v>3</v>
      </c>
      <c r="G225">
        <v>4</v>
      </c>
      <c r="H225">
        <f t="shared" si="28"/>
        <v>12</v>
      </c>
      <c r="I225">
        <f t="shared" si="29"/>
        <v>16</v>
      </c>
      <c r="J225" t="str">
        <f t="shared" si="25"/>
        <v>NO</v>
      </c>
      <c r="K225" t="str">
        <f t="shared" si="30"/>
        <v>NO</v>
      </c>
      <c r="L225" t="str">
        <f t="shared" si="26"/>
        <v>NO</v>
      </c>
    </row>
    <row r="226" spans="1:12">
      <c r="A226" s="2">
        <f t="shared" si="24"/>
        <v>46181</v>
      </c>
      <c r="B226">
        <f t="shared" si="27"/>
        <v>1</v>
      </c>
      <c r="C226" t="s">
        <v>11</v>
      </c>
      <c r="D226">
        <v>537</v>
      </c>
      <c r="E226">
        <v>525</v>
      </c>
      <c r="F226">
        <f t="shared" si="31"/>
        <v>12</v>
      </c>
      <c r="G226">
        <v>29</v>
      </c>
      <c r="H226">
        <f t="shared" si="28"/>
        <v>12</v>
      </c>
      <c r="I226">
        <f t="shared" si="29"/>
        <v>41</v>
      </c>
      <c r="J226" t="str">
        <f t="shared" si="25"/>
        <v>YES</v>
      </c>
      <c r="K226" t="str">
        <f t="shared" si="30"/>
        <v>YES</v>
      </c>
      <c r="L226" t="str">
        <f t="shared" si="26"/>
        <v>YES</v>
      </c>
    </row>
    <row r="227" spans="1:12">
      <c r="A227" s="2">
        <f t="shared" si="24"/>
        <v>46181</v>
      </c>
      <c r="B227">
        <f t="shared" si="27"/>
        <v>2</v>
      </c>
      <c r="C227" t="s">
        <v>12</v>
      </c>
      <c r="D227">
        <v>700</v>
      </c>
      <c r="E227">
        <v>689</v>
      </c>
      <c r="F227">
        <f t="shared" si="31"/>
        <v>11</v>
      </c>
      <c r="G227">
        <v>25</v>
      </c>
      <c r="H227">
        <f t="shared" si="28"/>
        <v>20</v>
      </c>
      <c r="I227">
        <f t="shared" si="29"/>
        <v>45</v>
      </c>
      <c r="J227" t="str">
        <f t="shared" si="25"/>
        <v>YES</v>
      </c>
      <c r="K227" t="str">
        <f t="shared" si="30"/>
        <v>YES</v>
      </c>
      <c r="L227" t="str">
        <f t="shared" si="26"/>
        <v>YES</v>
      </c>
    </row>
    <row r="228" spans="1:12">
      <c r="A228" s="2">
        <f t="shared" si="24"/>
        <v>46182</v>
      </c>
      <c r="B228">
        <f t="shared" si="27"/>
        <v>1</v>
      </c>
      <c r="C228" t="s">
        <v>10</v>
      </c>
      <c r="D228">
        <v>861</v>
      </c>
      <c r="E228">
        <v>855</v>
      </c>
      <c r="F228">
        <f t="shared" si="31"/>
        <v>6</v>
      </c>
      <c r="G228">
        <v>8</v>
      </c>
      <c r="H228">
        <f t="shared" si="28"/>
        <v>15</v>
      </c>
      <c r="I228">
        <f t="shared" si="29"/>
        <v>23</v>
      </c>
      <c r="J228" t="str">
        <f t="shared" si="25"/>
        <v>YES</v>
      </c>
      <c r="K228" t="str">
        <f t="shared" si="30"/>
        <v>NO</v>
      </c>
      <c r="L228" t="str">
        <f t="shared" si="26"/>
        <v>NO</v>
      </c>
    </row>
    <row r="229" spans="1:12">
      <c r="A229" s="2">
        <f>WORKDAY(DATE(2026,1,1)-1,INT((ROW(A228)-1)/2)+1)</f>
        <v>46182</v>
      </c>
      <c r="B229">
        <f t="shared" si="27"/>
        <v>2</v>
      </c>
      <c r="C229" t="s">
        <v>10</v>
      </c>
      <c r="D229">
        <v>952</v>
      </c>
      <c r="E229">
        <v>950</v>
      </c>
      <c r="F229">
        <f t="shared" si="31"/>
        <v>2</v>
      </c>
      <c r="G229">
        <v>4</v>
      </c>
      <c r="H229">
        <f t="shared" si="28"/>
        <v>15</v>
      </c>
      <c r="I229">
        <f t="shared" si="29"/>
        <v>19</v>
      </c>
      <c r="J229" t="str">
        <f t="shared" si="25"/>
        <v>NO</v>
      </c>
      <c r="K229" t="str">
        <f t="shared" si="30"/>
        <v>NO</v>
      </c>
      <c r="L229" t="str">
        <f t="shared" si="26"/>
        <v>NO</v>
      </c>
    </row>
    <row r="230" spans="1:12">
      <c r="A230" s="2">
        <f t="shared" ref="A230" si="32">WORKDAY(DATE(2026,1,1)-1,INT((ROW(A229)-1)/2)+1)</f>
        <v>46183</v>
      </c>
      <c r="B230">
        <f t="shared" si="27"/>
        <v>1</v>
      </c>
      <c r="C230" t="s">
        <v>11</v>
      </c>
      <c r="D230">
        <v>438</v>
      </c>
      <c r="E230">
        <v>424</v>
      </c>
      <c r="F230">
        <f t="shared" si="31"/>
        <v>14</v>
      </c>
      <c r="G230">
        <v>23</v>
      </c>
      <c r="H230">
        <f t="shared" si="28"/>
        <v>12</v>
      </c>
      <c r="I230">
        <f t="shared" si="29"/>
        <v>35</v>
      </c>
      <c r="J230" t="str">
        <f t="shared" si="25"/>
        <v>YES</v>
      </c>
      <c r="K230" t="str">
        <f t="shared" si="30"/>
        <v>YES</v>
      </c>
      <c r="L230" t="str">
        <f t="shared" si="26"/>
        <v>NO</v>
      </c>
    </row>
    <row r="231" spans="1:12">
      <c r="A231" s="2">
        <f>WORKDAY(DATE(2026,1,1)-1,INT((ROW(A230)-1)/2)+1)</f>
        <v>46183</v>
      </c>
      <c r="B231">
        <f t="shared" si="27"/>
        <v>2</v>
      </c>
      <c r="C231" t="s">
        <v>11</v>
      </c>
      <c r="D231">
        <v>423</v>
      </c>
      <c r="E231">
        <v>406</v>
      </c>
      <c r="F231">
        <f t="shared" si="31"/>
        <v>17</v>
      </c>
      <c r="G231">
        <v>27</v>
      </c>
      <c r="H231">
        <f t="shared" si="28"/>
        <v>12</v>
      </c>
      <c r="I231">
        <f t="shared" si="29"/>
        <v>39</v>
      </c>
      <c r="J231" t="str">
        <f t="shared" si="25"/>
        <v>YES</v>
      </c>
      <c r="K231" t="str">
        <f t="shared" si="30"/>
        <v>YES</v>
      </c>
      <c r="L231" t="str">
        <f t="shared" si="26"/>
        <v>NO</v>
      </c>
    </row>
    <row r="232" spans="1:12">
      <c r="A232" s="2">
        <f t="shared" ref="A232:A260" si="33">WORKDAY(DATE(2026,1,1)-1,INT((ROW(A231)-1)/2)+1)</f>
        <v>46184</v>
      </c>
      <c r="B232">
        <f t="shared" si="27"/>
        <v>1</v>
      </c>
      <c r="C232" t="s">
        <v>12</v>
      </c>
      <c r="D232">
        <v>527</v>
      </c>
      <c r="E232">
        <v>521</v>
      </c>
      <c r="F232">
        <f t="shared" si="31"/>
        <v>6</v>
      </c>
      <c r="G232">
        <v>6</v>
      </c>
      <c r="H232">
        <f t="shared" si="28"/>
        <v>20</v>
      </c>
      <c r="I232">
        <f t="shared" si="29"/>
        <v>26</v>
      </c>
      <c r="J232" t="str">
        <f t="shared" si="25"/>
        <v>YES</v>
      </c>
      <c r="K232" t="str">
        <f t="shared" si="30"/>
        <v>NO</v>
      </c>
      <c r="L232" t="str">
        <f t="shared" si="26"/>
        <v>NO</v>
      </c>
    </row>
    <row r="233" spans="1:12">
      <c r="A233" s="2">
        <f t="shared" si="33"/>
        <v>46184</v>
      </c>
      <c r="B233">
        <f t="shared" si="27"/>
        <v>2</v>
      </c>
      <c r="C233" t="s">
        <v>11</v>
      </c>
      <c r="D233">
        <v>718</v>
      </c>
      <c r="E233">
        <v>712</v>
      </c>
      <c r="F233">
        <f t="shared" si="31"/>
        <v>6</v>
      </c>
      <c r="G233">
        <v>4</v>
      </c>
      <c r="H233">
        <f t="shared" si="28"/>
        <v>12</v>
      </c>
      <c r="I233">
        <f t="shared" si="29"/>
        <v>16</v>
      </c>
      <c r="J233" t="str">
        <f t="shared" si="25"/>
        <v>NO</v>
      </c>
      <c r="K233" t="str">
        <f t="shared" si="30"/>
        <v>NO</v>
      </c>
      <c r="L233" t="str">
        <f t="shared" si="26"/>
        <v>NO</v>
      </c>
    </row>
    <row r="234" spans="1:12">
      <c r="A234" s="2">
        <f t="shared" si="33"/>
        <v>46185</v>
      </c>
      <c r="B234">
        <f t="shared" si="27"/>
        <v>1</v>
      </c>
      <c r="C234" t="s">
        <v>11</v>
      </c>
      <c r="D234">
        <v>615</v>
      </c>
      <c r="E234">
        <v>608</v>
      </c>
      <c r="F234">
        <f t="shared" si="31"/>
        <v>7</v>
      </c>
      <c r="G234">
        <v>5</v>
      </c>
      <c r="H234">
        <f t="shared" si="28"/>
        <v>12</v>
      </c>
      <c r="I234">
        <f t="shared" si="29"/>
        <v>17</v>
      </c>
      <c r="J234" t="str">
        <f t="shared" si="25"/>
        <v>NO</v>
      </c>
      <c r="K234" t="str">
        <f t="shared" si="30"/>
        <v>NO</v>
      </c>
      <c r="L234" t="str">
        <f t="shared" si="26"/>
        <v>NO</v>
      </c>
    </row>
    <row r="235" spans="1:12">
      <c r="A235" s="2">
        <f>WORKDAY(DATE(2026,1,1)-1,INT((ROW(A234)-1)/2)+1)</f>
        <v>46185</v>
      </c>
      <c r="B235">
        <f t="shared" si="27"/>
        <v>2</v>
      </c>
      <c r="C235" t="s">
        <v>10</v>
      </c>
      <c r="D235">
        <v>999</v>
      </c>
      <c r="E235">
        <v>994</v>
      </c>
      <c r="F235">
        <f t="shared" si="31"/>
        <v>5</v>
      </c>
      <c r="G235">
        <v>4</v>
      </c>
      <c r="H235">
        <f t="shared" si="28"/>
        <v>15</v>
      </c>
      <c r="I235">
        <f t="shared" si="29"/>
        <v>19</v>
      </c>
      <c r="J235" t="str">
        <f t="shared" si="25"/>
        <v>NO</v>
      </c>
      <c r="K235" t="str">
        <f t="shared" si="30"/>
        <v>NO</v>
      </c>
      <c r="L235" t="str">
        <f t="shared" si="26"/>
        <v>NO</v>
      </c>
    </row>
    <row r="236" spans="1:12">
      <c r="A236" s="2">
        <f t="shared" si="33"/>
        <v>46188</v>
      </c>
      <c r="B236">
        <f t="shared" si="27"/>
        <v>1</v>
      </c>
      <c r="C236" t="s">
        <v>11</v>
      </c>
      <c r="D236">
        <v>510</v>
      </c>
      <c r="E236">
        <v>499</v>
      </c>
      <c r="F236">
        <f t="shared" si="31"/>
        <v>11</v>
      </c>
      <c r="G236">
        <v>28</v>
      </c>
      <c r="H236">
        <f t="shared" si="28"/>
        <v>12</v>
      </c>
      <c r="I236">
        <f t="shared" si="29"/>
        <v>40</v>
      </c>
      <c r="J236" t="str">
        <f t="shared" si="25"/>
        <v>YES</v>
      </c>
      <c r="K236" t="str">
        <f t="shared" si="30"/>
        <v>YES</v>
      </c>
      <c r="L236" t="str">
        <f t="shared" si="26"/>
        <v>YES</v>
      </c>
    </row>
    <row r="237" spans="1:12">
      <c r="A237" s="2">
        <f t="shared" si="33"/>
        <v>46188</v>
      </c>
      <c r="B237">
        <f t="shared" si="27"/>
        <v>2</v>
      </c>
      <c r="C237" t="s">
        <v>10</v>
      </c>
      <c r="D237">
        <v>646</v>
      </c>
      <c r="E237">
        <v>627</v>
      </c>
      <c r="F237">
        <f t="shared" si="31"/>
        <v>19</v>
      </c>
      <c r="G237">
        <v>20</v>
      </c>
      <c r="H237">
        <f t="shared" si="28"/>
        <v>15</v>
      </c>
      <c r="I237">
        <f t="shared" si="29"/>
        <v>35</v>
      </c>
      <c r="J237" t="str">
        <f t="shared" si="25"/>
        <v>YES</v>
      </c>
      <c r="K237" t="str">
        <f t="shared" si="30"/>
        <v>YES</v>
      </c>
      <c r="L237" t="str">
        <f t="shared" si="26"/>
        <v>NO</v>
      </c>
    </row>
    <row r="238" spans="1:12">
      <c r="A238" s="2">
        <f t="shared" si="33"/>
        <v>46189</v>
      </c>
      <c r="B238">
        <f t="shared" si="27"/>
        <v>1</v>
      </c>
      <c r="C238" t="s">
        <v>10</v>
      </c>
      <c r="D238">
        <v>601</v>
      </c>
      <c r="E238">
        <v>587</v>
      </c>
      <c r="F238">
        <f t="shared" si="31"/>
        <v>14</v>
      </c>
      <c r="G238">
        <v>25</v>
      </c>
      <c r="H238">
        <f t="shared" si="28"/>
        <v>15</v>
      </c>
      <c r="I238">
        <f t="shared" si="29"/>
        <v>40</v>
      </c>
      <c r="J238" t="str">
        <f t="shared" si="25"/>
        <v>YES</v>
      </c>
      <c r="K238" t="str">
        <f t="shared" si="30"/>
        <v>YES</v>
      </c>
      <c r="L238" t="str">
        <f t="shared" si="26"/>
        <v>YES</v>
      </c>
    </row>
    <row r="239" spans="1:12">
      <c r="A239" s="2">
        <f t="shared" si="33"/>
        <v>46189</v>
      </c>
      <c r="B239">
        <f t="shared" si="27"/>
        <v>2</v>
      </c>
      <c r="C239" t="s">
        <v>11</v>
      </c>
      <c r="D239">
        <v>252</v>
      </c>
      <c r="E239">
        <v>238</v>
      </c>
      <c r="F239">
        <f t="shared" si="31"/>
        <v>14</v>
      </c>
      <c r="G239">
        <v>21</v>
      </c>
      <c r="H239">
        <f t="shared" si="28"/>
        <v>12</v>
      </c>
      <c r="I239">
        <f t="shared" si="29"/>
        <v>33</v>
      </c>
      <c r="J239" t="str">
        <f t="shared" si="25"/>
        <v>YES</v>
      </c>
      <c r="K239" t="str">
        <f t="shared" si="30"/>
        <v>YES</v>
      </c>
      <c r="L239" t="str">
        <f t="shared" si="26"/>
        <v>NO</v>
      </c>
    </row>
    <row r="240" spans="1:12">
      <c r="A240" s="2">
        <f t="shared" si="33"/>
        <v>46190</v>
      </c>
      <c r="B240">
        <f t="shared" si="27"/>
        <v>1</v>
      </c>
      <c r="C240" t="s">
        <v>10</v>
      </c>
      <c r="D240">
        <v>998</v>
      </c>
      <c r="E240">
        <v>979</v>
      </c>
      <c r="F240">
        <f t="shared" si="31"/>
        <v>19</v>
      </c>
      <c r="G240">
        <v>23</v>
      </c>
      <c r="H240">
        <f t="shared" si="28"/>
        <v>15</v>
      </c>
      <c r="I240">
        <f t="shared" si="29"/>
        <v>38</v>
      </c>
      <c r="J240" t="str">
        <f t="shared" si="25"/>
        <v>YES</v>
      </c>
      <c r="K240" t="str">
        <f t="shared" si="30"/>
        <v>YES</v>
      </c>
      <c r="L240" t="str">
        <f t="shared" si="26"/>
        <v>NO</v>
      </c>
    </row>
    <row r="241" spans="1:12">
      <c r="A241" s="2">
        <f t="shared" si="33"/>
        <v>46190</v>
      </c>
      <c r="B241">
        <f t="shared" si="27"/>
        <v>2</v>
      </c>
      <c r="C241" t="s">
        <v>10</v>
      </c>
      <c r="D241">
        <v>775</v>
      </c>
      <c r="E241">
        <v>771</v>
      </c>
      <c r="F241">
        <f t="shared" si="31"/>
        <v>4</v>
      </c>
      <c r="G241">
        <v>4</v>
      </c>
      <c r="H241">
        <f t="shared" si="28"/>
        <v>15</v>
      </c>
      <c r="I241">
        <f t="shared" si="29"/>
        <v>19</v>
      </c>
      <c r="J241" t="str">
        <f t="shared" si="25"/>
        <v>NO</v>
      </c>
      <c r="K241" t="str">
        <f t="shared" si="30"/>
        <v>NO</v>
      </c>
      <c r="L241" t="str">
        <f t="shared" si="26"/>
        <v>NO</v>
      </c>
    </row>
    <row r="242" spans="1:12">
      <c r="A242" s="2">
        <f t="shared" si="33"/>
        <v>46191</v>
      </c>
      <c r="B242">
        <f t="shared" si="27"/>
        <v>1</v>
      </c>
      <c r="C242" t="s">
        <v>12</v>
      </c>
      <c r="D242">
        <v>303</v>
      </c>
      <c r="E242">
        <v>287</v>
      </c>
      <c r="F242">
        <f t="shared" si="31"/>
        <v>16</v>
      </c>
      <c r="G242">
        <v>18</v>
      </c>
      <c r="H242">
        <f t="shared" si="28"/>
        <v>20</v>
      </c>
      <c r="I242">
        <f t="shared" si="29"/>
        <v>38</v>
      </c>
      <c r="J242" t="str">
        <f t="shared" si="25"/>
        <v>YES</v>
      </c>
      <c r="K242" t="str">
        <f t="shared" si="30"/>
        <v>YES</v>
      </c>
      <c r="L242" t="str">
        <f t="shared" si="26"/>
        <v>NO</v>
      </c>
    </row>
    <row r="243" spans="1:12">
      <c r="A243" s="2">
        <f t="shared" si="33"/>
        <v>46191</v>
      </c>
      <c r="B243">
        <f t="shared" si="27"/>
        <v>2</v>
      </c>
      <c r="C243" t="s">
        <v>12</v>
      </c>
      <c r="D243">
        <v>677</v>
      </c>
      <c r="E243">
        <v>674</v>
      </c>
      <c r="F243">
        <f t="shared" si="31"/>
        <v>3</v>
      </c>
      <c r="G243">
        <v>8</v>
      </c>
      <c r="H243">
        <f t="shared" si="28"/>
        <v>20</v>
      </c>
      <c r="I243">
        <f t="shared" si="29"/>
        <v>28</v>
      </c>
      <c r="J243" t="str">
        <f t="shared" si="25"/>
        <v>YES</v>
      </c>
      <c r="K243" t="str">
        <f t="shared" si="30"/>
        <v>NO</v>
      </c>
      <c r="L243" t="str">
        <f t="shared" si="26"/>
        <v>NO</v>
      </c>
    </row>
    <row r="244" spans="1:12">
      <c r="A244" s="2">
        <f t="shared" si="33"/>
        <v>46192</v>
      </c>
      <c r="B244">
        <f t="shared" si="27"/>
        <v>1</v>
      </c>
      <c r="C244" t="s">
        <v>11</v>
      </c>
      <c r="D244">
        <v>206</v>
      </c>
      <c r="E244">
        <v>192</v>
      </c>
      <c r="F244">
        <f t="shared" si="31"/>
        <v>14</v>
      </c>
      <c r="G244">
        <v>18</v>
      </c>
      <c r="H244">
        <f t="shared" si="28"/>
        <v>12</v>
      </c>
      <c r="I244">
        <f t="shared" si="29"/>
        <v>30</v>
      </c>
      <c r="J244" t="str">
        <f t="shared" si="25"/>
        <v>YES</v>
      </c>
      <c r="K244" t="str">
        <f t="shared" si="30"/>
        <v>NO</v>
      </c>
      <c r="L244" t="str">
        <f t="shared" si="26"/>
        <v>NO</v>
      </c>
    </row>
    <row r="245" spans="1:12">
      <c r="A245" s="2">
        <f t="shared" si="33"/>
        <v>46192</v>
      </c>
      <c r="B245">
        <f t="shared" si="27"/>
        <v>2</v>
      </c>
      <c r="C245" t="s">
        <v>10</v>
      </c>
      <c r="D245">
        <v>447</v>
      </c>
      <c r="E245">
        <v>445</v>
      </c>
      <c r="F245">
        <f t="shared" si="31"/>
        <v>2</v>
      </c>
      <c r="G245">
        <v>7</v>
      </c>
      <c r="H245">
        <f t="shared" si="28"/>
        <v>15</v>
      </c>
      <c r="I245">
        <f t="shared" si="29"/>
        <v>22</v>
      </c>
      <c r="J245" t="str">
        <f t="shared" si="25"/>
        <v>YES</v>
      </c>
      <c r="K245" t="str">
        <f t="shared" si="30"/>
        <v>NO</v>
      </c>
      <c r="L245" t="str">
        <f t="shared" si="26"/>
        <v>NO</v>
      </c>
    </row>
    <row r="246" spans="1:12">
      <c r="A246" s="2">
        <f t="shared" si="33"/>
        <v>46195</v>
      </c>
      <c r="B246">
        <f t="shared" si="27"/>
        <v>1</v>
      </c>
      <c r="C246" t="s">
        <v>11</v>
      </c>
      <c r="D246">
        <v>702</v>
      </c>
      <c r="E246">
        <v>687</v>
      </c>
      <c r="F246">
        <f t="shared" si="31"/>
        <v>15</v>
      </c>
      <c r="G246">
        <v>26</v>
      </c>
      <c r="H246">
        <f t="shared" si="28"/>
        <v>12</v>
      </c>
      <c r="I246">
        <f t="shared" si="29"/>
        <v>38</v>
      </c>
      <c r="J246" t="str">
        <f t="shared" si="25"/>
        <v>YES</v>
      </c>
      <c r="K246" t="str">
        <f t="shared" si="30"/>
        <v>YES</v>
      </c>
      <c r="L246" t="str">
        <f t="shared" si="26"/>
        <v>NO</v>
      </c>
    </row>
    <row r="247" spans="1:12">
      <c r="A247" s="2">
        <f t="shared" si="33"/>
        <v>46195</v>
      </c>
      <c r="B247">
        <f t="shared" si="27"/>
        <v>2</v>
      </c>
      <c r="C247" t="s">
        <v>10</v>
      </c>
      <c r="D247">
        <v>288</v>
      </c>
      <c r="E247">
        <v>274</v>
      </c>
      <c r="F247">
        <f t="shared" si="31"/>
        <v>14</v>
      </c>
      <c r="G247">
        <v>15</v>
      </c>
      <c r="H247">
        <f t="shared" si="28"/>
        <v>15</v>
      </c>
      <c r="I247">
        <f t="shared" si="29"/>
        <v>30</v>
      </c>
      <c r="J247" t="str">
        <f t="shared" si="25"/>
        <v>YES</v>
      </c>
      <c r="K247" t="str">
        <f t="shared" si="30"/>
        <v>NO</v>
      </c>
      <c r="L247" t="str">
        <f t="shared" si="26"/>
        <v>NO</v>
      </c>
    </row>
    <row r="248" spans="1:12">
      <c r="A248" s="2">
        <f t="shared" si="33"/>
        <v>46196</v>
      </c>
      <c r="B248">
        <f t="shared" si="27"/>
        <v>1</v>
      </c>
      <c r="C248" t="s">
        <v>12</v>
      </c>
      <c r="D248">
        <v>789</v>
      </c>
      <c r="E248">
        <v>776</v>
      </c>
      <c r="F248">
        <f t="shared" si="31"/>
        <v>13</v>
      </c>
      <c r="G248">
        <v>25</v>
      </c>
      <c r="H248">
        <f t="shared" si="28"/>
        <v>20</v>
      </c>
      <c r="I248">
        <f t="shared" si="29"/>
        <v>45</v>
      </c>
      <c r="J248" t="str">
        <f t="shared" si="25"/>
        <v>YES</v>
      </c>
      <c r="K248" t="str">
        <f t="shared" si="30"/>
        <v>YES</v>
      </c>
      <c r="L248" t="str">
        <f t="shared" si="26"/>
        <v>YES</v>
      </c>
    </row>
    <row r="249" spans="1:12">
      <c r="A249" s="2">
        <f t="shared" si="33"/>
        <v>46196</v>
      </c>
      <c r="B249">
        <f t="shared" si="27"/>
        <v>2</v>
      </c>
      <c r="C249" t="s">
        <v>11</v>
      </c>
      <c r="D249">
        <v>591</v>
      </c>
      <c r="E249">
        <v>578</v>
      </c>
      <c r="F249">
        <f t="shared" si="31"/>
        <v>13</v>
      </c>
      <c r="G249">
        <v>15</v>
      </c>
      <c r="H249">
        <f t="shared" si="28"/>
        <v>12</v>
      </c>
      <c r="I249">
        <f t="shared" si="29"/>
        <v>27</v>
      </c>
      <c r="J249" t="str">
        <f t="shared" si="25"/>
        <v>YES</v>
      </c>
      <c r="K249" t="str">
        <f t="shared" si="30"/>
        <v>NO</v>
      </c>
      <c r="L249" t="str">
        <f t="shared" si="26"/>
        <v>NO</v>
      </c>
    </row>
    <row r="250" spans="1:12">
      <c r="A250" s="2">
        <f t="shared" si="33"/>
        <v>46197</v>
      </c>
      <c r="B250">
        <f t="shared" si="27"/>
        <v>1</v>
      </c>
      <c r="C250" t="s">
        <v>10</v>
      </c>
      <c r="D250">
        <v>387</v>
      </c>
      <c r="E250">
        <v>370</v>
      </c>
      <c r="F250">
        <f t="shared" si="31"/>
        <v>17</v>
      </c>
      <c r="G250">
        <v>29</v>
      </c>
      <c r="H250">
        <f t="shared" si="28"/>
        <v>15</v>
      </c>
      <c r="I250">
        <f t="shared" si="29"/>
        <v>44</v>
      </c>
      <c r="J250" t="str">
        <f t="shared" si="25"/>
        <v>YES</v>
      </c>
      <c r="K250" t="str">
        <f t="shared" si="30"/>
        <v>YES</v>
      </c>
      <c r="L250" t="str">
        <f t="shared" si="26"/>
        <v>YES</v>
      </c>
    </row>
    <row r="251" spans="1:12">
      <c r="A251" s="2">
        <f t="shared" si="33"/>
        <v>46197</v>
      </c>
      <c r="B251">
        <f t="shared" si="27"/>
        <v>2</v>
      </c>
      <c r="C251" t="s">
        <v>12</v>
      </c>
      <c r="D251">
        <v>775</v>
      </c>
      <c r="E251">
        <v>760</v>
      </c>
      <c r="F251">
        <f t="shared" si="31"/>
        <v>15</v>
      </c>
      <c r="G251">
        <v>21</v>
      </c>
      <c r="H251">
        <f t="shared" si="28"/>
        <v>20</v>
      </c>
      <c r="I251">
        <f t="shared" si="29"/>
        <v>41</v>
      </c>
      <c r="J251" t="str">
        <f t="shared" si="25"/>
        <v>YES</v>
      </c>
      <c r="K251" t="str">
        <f t="shared" si="30"/>
        <v>YES</v>
      </c>
      <c r="L251" t="str">
        <f t="shared" si="26"/>
        <v>YES</v>
      </c>
    </row>
    <row r="252" spans="1:12">
      <c r="A252" s="2">
        <f t="shared" si="33"/>
        <v>46198</v>
      </c>
      <c r="B252">
        <f t="shared" si="27"/>
        <v>1</v>
      </c>
      <c r="C252" t="s">
        <v>11</v>
      </c>
      <c r="D252">
        <v>324</v>
      </c>
      <c r="E252">
        <v>324</v>
      </c>
      <c r="F252">
        <f t="shared" si="31"/>
        <v>0</v>
      </c>
      <c r="G252">
        <v>7</v>
      </c>
      <c r="H252">
        <f t="shared" si="28"/>
        <v>12</v>
      </c>
      <c r="I252">
        <f t="shared" si="29"/>
        <v>19</v>
      </c>
      <c r="J252" t="str">
        <f t="shared" si="25"/>
        <v>NO</v>
      </c>
      <c r="K252" t="str">
        <f t="shared" si="30"/>
        <v>NO</v>
      </c>
      <c r="L252" t="str">
        <f t="shared" si="26"/>
        <v>NO</v>
      </c>
    </row>
    <row r="253" spans="1:12">
      <c r="A253" s="2">
        <f t="shared" si="33"/>
        <v>46198</v>
      </c>
      <c r="B253">
        <f t="shared" si="27"/>
        <v>2</v>
      </c>
      <c r="C253" t="s">
        <v>12</v>
      </c>
      <c r="D253">
        <v>707</v>
      </c>
      <c r="E253">
        <v>703</v>
      </c>
      <c r="F253">
        <f t="shared" si="31"/>
        <v>4</v>
      </c>
      <c r="G253">
        <v>6</v>
      </c>
      <c r="H253">
        <f t="shared" si="28"/>
        <v>20</v>
      </c>
      <c r="I253">
        <f t="shared" si="29"/>
        <v>26</v>
      </c>
      <c r="J253" t="str">
        <f t="shared" si="25"/>
        <v>YES</v>
      </c>
      <c r="K253" t="str">
        <f t="shared" si="30"/>
        <v>NO</v>
      </c>
      <c r="L253" t="str">
        <f t="shared" si="26"/>
        <v>NO</v>
      </c>
    </row>
    <row r="254" spans="1:12">
      <c r="A254" s="2">
        <f t="shared" si="33"/>
        <v>46199</v>
      </c>
      <c r="B254">
        <f t="shared" si="27"/>
        <v>1</v>
      </c>
      <c r="C254" t="s">
        <v>12</v>
      </c>
      <c r="D254">
        <v>538</v>
      </c>
      <c r="E254">
        <v>537</v>
      </c>
      <c r="F254">
        <f t="shared" si="31"/>
        <v>1</v>
      </c>
      <c r="G254">
        <v>5</v>
      </c>
      <c r="H254">
        <f t="shared" si="28"/>
        <v>20</v>
      </c>
      <c r="I254">
        <f t="shared" si="29"/>
        <v>25</v>
      </c>
      <c r="J254" t="str">
        <f t="shared" si="25"/>
        <v>YES</v>
      </c>
      <c r="K254" t="str">
        <f t="shared" si="30"/>
        <v>NO</v>
      </c>
      <c r="L254" t="str">
        <f t="shared" si="26"/>
        <v>NO</v>
      </c>
    </row>
    <row r="255" spans="1:12">
      <c r="A255" s="2">
        <f t="shared" si="33"/>
        <v>46199</v>
      </c>
      <c r="B255">
        <f t="shared" si="27"/>
        <v>2</v>
      </c>
      <c r="C255" t="s">
        <v>12</v>
      </c>
      <c r="D255">
        <v>877</v>
      </c>
      <c r="E255">
        <v>860</v>
      </c>
      <c r="F255">
        <f t="shared" si="31"/>
        <v>17</v>
      </c>
      <c r="G255">
        <v>28</v>
      </c>
      <c r="H255">
        <f t="shared" si="28"/>
        <v>20</v>
      </c>
      <c r="I255">
        <f t="shared" si="29"/>
        <v>48</v>
      </c>
      <c r="J255" t="str">
        <f t="shared" si="25"/>
        <v>YES</v>
      </c>
      <c r="K255" t="str">
        <f t="shared" si="30"/>
        <v>YES</v>
      </c>
      <c r="L255" t="str">
        <f t="shared" si="26"/>
        <v>YES</v>
      </c>
    </row>
    <row r="256" spans="1:12">
      <c r="A256" s="2">
        <f t="shared" si="33"/>
        <v>46202</v>
      </c>
      <c r="B256">
        <f t="shared" si="27"/>
        <v>1</v>
      </c>
      <c r="C256" t="s">
        <v>10</v>
      </c>
      <c r="D256">
        <v>396</v>
      </c>
      <c r="E256">
        <v>394</v>
      </c>
      <c r="F256">
        <f t="shared" si="31"/>
        <v>2</v>
      </c>
      <c r="G256">
        <v>7</v>
      </c>
      <c r="H256">
        <f t="shared" si="28"/>
        <v>15</v>
      </c>
      <c r="I256">
        <f t="shared" si="29"/>
        <v>22</v>
      </c>
      <c r="J256" t="str">
        <f t="shared" si="25"/>
        <v>YES</v>
      </c>
      <c r="K256" t="str">
        <f t="shared" si="30"/>
        <v>NO</v>
      </c>
      <c r="L256" t="str">
        <f t="shared" si="26"/>
        <v>NO</v>
      </c>
    </row>
    <row r="257" spans="1:12">
      <c r="A257" s="2">
        <f t="shared" si="33"/>
        <v>46202</v>
      </c>
      <c r="B257">
        <f t="shared" si="27"/>
        <v>2</v>
      </c>
      <c r="C257" t="s">
        <v>11</v>
      </c>
      <c r="D257">
        <v>520</v>
      </c>
      <c r="E257">
        <v>516</v>
      </c>
      <c r="F257">
        <f t="shared" si="31"/>
        <v>4</v>
      </c>
      <c r="G257">
        <v>7</v>
      </c>
      <c r="H257">
        <f t="shared" si="28"/>
        <v>12</v>
      </c>
      <c r="I257">
        <f t="shared" si="29"/>
        <v>19</v>
      </c>
      <c r="J257" t="str">
        <f t="shared" si="25"/>
        <v>NO</v>
      </c>
      <c r="K257" t="str">
        <f t="shared" si="30"/>
        <v>NO</v>
      </c>
      <c r="L257" t="str">
        <f t="shared" si="26"/>
        <v>NO</v>
      </c>
    </row>
    <row r="258" spans="1:12">
      <c r="A258" s="2">
        <f t="shared" si="33"/>
        <v>46203</v>
      </c>
      <c r="B258">
        <f t="shared" si="27"/>
        <v>1</v>
      </c>
      <c r="C258" t="s">
        <v>11</v>
      </c>
      <c r="D258">
        <v>455</v>
      </c>
      <c r="E258">
        <v>455</v>
      </c>
      <c r="F258">
        <f t="shared" si="31"/>
        <v>0</v>
      </c>
      <c r="G258">
        <v>5</v>
      </c>
      <c r="H258">
        <f t="shared" si="28"/>
        <v>12</v>
      </c>
      <c r="I258">
        <f t="shared" si="29"/>
        <v>17</v>
      </c>
      <c r="J258" t="str">
        <f t="shared" si="25"/>
        <v>NO</v>
      </c>
      <c r="K258" t="str">
        <f t="shared" si="30"/>
        <v>NO</v>
      </c>
      <c r="L258" t="str">
        <f t="shared" si="26"/>
        <v>NO</v>
      </c>
    </row>
    <row r="259" spans="1:12">
      <c r="A259" s="2">
        <f t="shared" si="33"/>
        <v>46203</v>
      </c>
      <c r="B259">
        <f t="shared" si="27"/>
        <v>2</v>
      </c>
      <c r="C259" t="s">
        <v>11</v>
      </c>
      <c r="D259">
        <v>910</v>
      </c>
      <c r="E259">
        <v>909</v>
      </c>
      <c r="F259">
        <f t="shared" si="31"/>
        <v>1</v>
      </c>
      <c r="G259">
        <v>7</v>
      </c>
      <c r="H259">
        <f t="shared" si="28"/>
        <v>12</v>
      </c>
      <c r="I259">
        <f t="shared" si="29"/>
        <v>19</v>
      </c>
      <c r="J259" t="str">
        <f t="shared" ref="J259" si="34">IF(I259&gt;20,"YES","NO")</f>
        <v>NO</v>
      </c>
      <c r="K259" t="str">
        <f t="shared" si="30"/>
        <v>NO</v>
      </c>
      <c r="L259" t="str">
        <f t="shared" ref="L259" si="35">IF(I259&gt;39,"YES","NO")</f>
        <v>NO</v>
      </c>
    </row>
    <row r="260" spans="1:12">
      <c r="A2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Rebello</dc:creator>
  <cp:lastModifiedBy>Leonel Rebello</cp:lastModifiedBy>
  <dcterms:created xsi:type="dcterms:W3CDTF">2026-07-01T07:04:22Z</dcterms:created>
  <dcterms:modified xsi:type="dcterms:W3CDTF">2026-07-01T11:24:59Z</dcterms:modified>
</cp:coreProperties>
</file>